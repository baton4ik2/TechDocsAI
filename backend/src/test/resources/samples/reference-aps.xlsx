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4 Расчет стоимости содержания\2. Расчет проектов\Школа Лето\Работа с А системс цена на 01 07 2026 паспорта\АПС\"/>
    </mc:Choice>
  </mc:AlternateContent>
  <xr:revisionPtr revIDLastSave="0" documentId="13_ncr:1_{3FD09484-C1CD-484A-BDBF-87F2278220D8}" xr6:coauthVersionLast="47" xr6:coauthVersionMax="47" xr10:uidLastSave="{00000000-0000-0000-0000-000000000000}"/>
  <bookViews>
    <workbookView xWindow="28680" yWindow="-120" windowWidth="29040" windowHeight="15720" tabRatio="500" activeTab="2" xr2:uid="{00000000-000D-0000-FFFF-FFFF00000000}"/>
  </bookViews>
  <sheets>
    <sheet name="Сводная таблица" sheetId="3" r:id="rId1"/>
    <sheet name="Данные для расчета" sheetId="1" r:id="rId2"/>
    <sheet name="АПС СН-2012 расчёт" sheetId="2" r:id="rId3"/>
  </sheets>
  <externalReferences>
    <externalReference r:id="rId4"/>
    <externalReference r:id="rId5"/>
    <externalReference r:id="rId6"/>
    <externalReference r:id="rId7"/>
  </externalReferences>
  <definedNames>
    <definedName name="_xlnm._FilterDatabase" localSheetId="2" hidden="1">'АПС СН-2012 расчёт'!$A$2:$AP$2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7" i="2" l="1"/>
  <c r="K25" i="2"/>
  <c r="K24" i="2"/>
  <c r="AC20" i="2"/>
  <c r="AE20" i="2"/>
  <c r="AD20" i="2" s="1"/>
  <c r="AF20" i="2"/>
  <c r="L20" i="2"/>
  <c r="N20" i="2" s="1"/>
  <c r="AQ20" i="2" l="1"/>
  <c r="AG20" i="2"/>
  <c r="AI20" i="2"/>
  <c r="AJ20" i="2"/>
  <c r="T20" i="2"/>
  <c r="U20" i="2"/>
  <c r="V20" i="2"/>
  <c r="W20" i="2"/>
  <c r="AH20" i="2"/>
  <c r="X20" i="2" l="1"/>
  <c r="Y20" i="2"/>
  <c r="AK20" i="2"/>
  <c r="AL20" i="2"/>
  <c r="AF44" i="2"/>
  <c r="AE44" i="2"/>
  <c r="AD44" i="2" s="1"/>
  <c r="AC44" i="2"/>
  <c r="L44" i="2"/>
  <c r="AQ44" i="2" s="1"/>
  <c r="K45" i="2"/>
  <c r="L46" i="2" s="1"/>
  <c r="AQ46" i="2" s="1"/>
  <c r="AC49" i="2"/>
  <c r="AE49" i="2"/>
  <c r="AD49" i="2" s="1"/>
  <c r="AF49" i="2"/>
  <c r="L49" i="2"/>
  <c r="AQ49" i="2" s="1"/>
  <c r="AF48" i="2"/>
  <c r="AE48" i="2"/>
  <c r="AC48" i="2"/>
  <c r="L48" i="2"/>
  <c r="AQ48" i="2" s="1"/>
  <c r="AF47" i="2"/>
  <c r="AE47" i="2"/>
  <c r="AD47" i="2" s="1"/>
  <c r="AC47" i="2"/>
  <c r="L47" i="2"/>
  <c r="AQ47" i="2" s="1"/>
  <c r="AF46" i="2"/>
  <c r="AE46" i="2"/>
  <c r="AD46" i="2" s="1"/>
  <c r="AC46" i="2"/>
  <c r="AF43" i="2"/>
  <c r="AE43" i="2"/>
  <c r="AD43" i="2" s="1"/>
  <c r="AC43" i="2"/>
  <c r="L43" i="2"/>
  <c r="AQ43" i="2" s="1"/>
  <c r="AF42" i="2"/>
  <c r="AE42" i="2"/>
  <c r="AC42" i="2"/>
  <c r="L42" i="2"/>
  <c r="AQ42" i="2" s="1"/>
  <c r="Z20" i="2" l="1"/>
  <c r="AA20" i="2" s="1"/>
  <c r="AB20" i="2" s="1"/>
  <c r="AM20" i="2"/>
  <c r="AN20" i="2" s="1"/>
  <c r="AO20" i="2" s="1"/>
  <c r="N44" i="2"/>
  <c r="AG44" i="2" s="1"/>
  <c r="N49" i="2"/>
  <c r="AJ49" i="2" s="1"/>
  <c r="AI49" i="2"/>
  <c r="N48" i="2"/>
  <c r="AG48" i="2" s="1"/>
  <c r="AD48" i="2"/>
  <c r="N46" i="2"/>
  <c r="N47" i="2"/>
  <c r="N43" i="2"/>
  <c r="AG43" i="2" s="1"/>
  <c r="AD42" i="2"/>
  <c r="N42" i="2"/>
  <c r="AJ42" i="2" s="1"/>
  <c r="AF41" i="2"/>
  <c r="AE41" i="2"/>
  <c r="AC41" i="2"/>
  <c r="L41" i="2"/>
  <c r="N41" i="2" s="1"/>
  <c r="AF40" i="2"/>
  <c r="AE40" i="2"/>
  <c r="AD40" i="2" s="1"/>
  <c r="AC40" i="2"/>
  <c r="L40" i="2"/>
  <c r="AQ40" i="2" s="1"/>
  <c r="AF45" i="2"/>
  <c r="AE45" i="2"/>
  <c r="AC45" i="2"/>
  <c r="L45" i="2"/>
  <c r="AQ45" i="2" s="1"/>
  <c r="AJ44" i="2" l="1"/>
  <c r="AI44" i="2"/>
  <c r="AK44" i="2" s="1"/>
  <c r="AH44" i="2"/>
  <c r="T44" i="2"/>
  <c r="W44" i="2"/>
  <c r="V44" i="2"/>
  <c r="U44" i="2"/>
  <c r="AH48" i="2"/>
  <c r="AG49" i="2"/>
  <c r="U49" i="2"/>
  <c r="V49" i="2"/>
  <c r="T49" i="2"/>
  <c r="W49" i="2"/>
  <c r="AH49" i="2"/>
  <c r="AI48" i="2"/>
  <c r="AK48" i="2" s="1"/>
  <c r="AJ48" i="2"/>
  <c r="T48" i="2"/>
  <c r="V48" i="2"/>
  <c r="W48" i="2"/>
  <c r="U48" i="2"/>
  <c r="T47" i="2"/>
  <c r="W47" i="2"/>
  <c r="V47" i="2"/>
  <c r="U47" i="2"/>
  <c r="W46" i="2"/>
  <c r="V46" i="2"/>
  <c r="U46" i="2"/>
  <c r="T46" i="2"/>
  <c r="AJ47" i="2"/>
  <c r="AI47" i="2"/>
  <c r="AH47" i="2"/>
  <c r="AG47" i="2"/>
  <c r="AJ46" i="2"/>
  <c r="AI46" i="2"/>
  <c r="AH46" i="2"/>
  <c r="AG46" i="2"/>
  <c r="T43" i="2"/>
  <c r="W43" i="2"/>
  <c r="V43" i="2"/>
  <c r="U43" i="2"/>
  <c r="AJ43" i="2"/>
  <c r="AH43" i="2"/>
  <c r="AI43" i="2"/>
  <c r="AK43" i="2" s="1"/>
  <c r="T42" i="2"/>
  <c r="W42" i="2"/>
  <c r="V42" i="2"/>
  <c r="U42" i="2"/>
  <c r="AH42" i="2"/>
  <c r="AG42" i="2"/>
  <c r="AI42" i="2"/>
  <c r="AQ41" i="2"/>
  <c r="W41" i="2"/>
  <c r="U41" i="2"/>
  <c r="T41" i="2"/>
  <c r="V41" i="2"/>
  <c r="AG41" i="2"/>
  <c r="AI41" i="2"/>
  <c r="AJ41" i="2"/>
  <c r="AD41" i="2"/>
  <c r="AH41" i="2" s="1"/>
  <c r="N40" i="2"/>
  <c r="AH40" i="2" s="1"/>
  <c r="AD45" i="2"/>
  <c r="N45" i="2"/>
  <c r="AI45" i="2" s="1"/>
  <c r="AL44" i="2" l="1"/>
  <c r="AM44" i="2" s="1"/>
  <c r="AN44" i="2" s="1"/>
  <c r="AO44" i="2" s="1"/>
  <c r="AK46" i="2"/>
  <c r="AL46" i="2"/>
  <c r="X44" i="2"/>
  <c r="Y44" i="2"/>
  <c r="X43" i="2"/>
  <c r="Y43" i="2"/>
  <c r="AK41" i="2"/>
  <c r="AL41" i="2"/>
  <c r="Y49" i="2"/>
  <c r="X49" i="2"/>
  <c r="X41" i="2"/>
  <c r="Y41" i="2"/>
  <c r="AK47" i="2"/>
  <c r="AL47" i="2"/>
  <c r="AL49" i="2"/>
  <c r="AK49" i="2"/>
  <c r="Y46" i="2"/>
  <c r="X46" i="2"/>
  <c r="AK42" i="2"/>
  <c r="AL42" i="2"/>
  <c r="AL48" i="2"/>
  <c r="AM48" i="2" s="1"/>
  <c r="AN48" i="2" s="1"/>
  <c r="AO48" i="2" s="1"/>
  <c r="X42" i="2"/>
  <c r="Y42" i="2"/>
  <c r="Y47" i="2"/>
  <c r="X47" i="2"/>
  <c r="AL43" i="2"/>
  <c r="AM43" i="2" s="1"/>
  <c r="AN43" i="2" s="1"/>
  <c r="AO43" i="2" s="1"/>
  <c r="Y48" i="2"/>
  <c r="X48" i="2"/>
  <c r="W40" i="2"/>
  <c r="V40" i="2"/>
  <c r="U40" i="2"/>
  <c r="T40" i="2"/>
  <c r="AG40" i="2"/>
  <c r="AJ40" i="2"/>
  <c r="AI40" i="2"/>
  <c r="T45" i="2"/>
  <c r="W45" i="2"/>
  <c r="U45" i="2"/>
  <c r="V45" i="2"/>
  <c r="AH45" i="2"/>
  <c r="AJ45" i="2"/>
  <c r="AG45" i="2"/>
  <c r="AM49" i="2" l="1"/>
  <c r="AN49" i="2" s="1"/>
  <c r="AO49" i="2" s="1"/>
  <c r="Z44" i="2"/>
  <c r="AM42" i="2"/>
  <c r="AN42" i="2" s="1"/>
  <c r="AO42" i="2" s="1"/>
  <c r="AM47" i="2"/>
  <c r="AN47" i="2" s="1"/>
  <c r="AO47" i="2" s="1"/>
  <c r="AM41" i="2"/>
  <c r="AN41" i="2" s="1"/>
  <c r="AO41" i="2" s="1"/>
  <c r="AK45" i="2"/>
  <c r="AL45" i="2"/>
  <c r="Y45" i="2"/>
  <c r="X45" i="2"/>
  <c r="AL40" i="2"/>
  <c r="AK40" i="2"/>
  <c r="X40" i="2"/>
  <c r="Y40" i="2"/>
  <c r="AA44" i="2"/>
  <c r="AB44" i="2" s="1"/>
  <c r="AM46" i="2"/>
  <c r="AN46" i="2" s="1"/>
  <c r="AO46" i="2" s="1"/>
  <c r="Z49" i="2"/>
  <c r="Z48" i="2"/>
  <c r="Z46" i="2"/>
  <c r="Z47" i="2"/>
  <c r="Z43" i="2"/>
  <c r="Z42" i="2"/>
  <c r="AA42" i="2" s="1"/>
  <c r="Z41" i="2"/>
  <c r="AM40" i="2" l="1"/>
  <c r="AN40" i="2" s="1"/>
  <c r="AO40" i="2" s="1"/>
  <c r="AM45" i="2"/>
  <c r="AA41" i="2"/>
  <c r="AB41" i="2" s="1"/>
  <c r="AA43" i="2"/>
  <c r="AB43" i="2" s="1"/>
  <c r="AA47" i="2"/>
  <c r="AB47" i="2" s="1"/>
  <c r="AA46" i="2"/>
  <c r="AB46" i="2" s="1"/>
  <c r="AA48" i="2"/>
  <c r="AB48" i="2" s="1"/>
  <c r="AA49" i="2"/>
  <c r="AB49" i="2" s="1"/>
  <c r="AB42" i="2"/>
  <c r="Z45" i="2"/>
  <c r="Z40" i="2"/>
  <c r="AA40" i="2" l="1"/>
  <c r="AB40" i="2" s="1"/>
  <c r="AA45" i="2"/>
  <c r="AB45" i="2" s="1"/>
  <c r="AN45" i="2"/>
  <c r="AO45" i="2" s="1"/>
  <c r="AO50" i="2" s="1"/>
  <c r="AB50" i="2" l="1"/>
  <c r="AF38" i="2"/>
  <c r="AE38" i="2"/>
  <c r="AD38" i="2" s="1"/>
  <c r="AC38" i="2"/>
  <c r="L38" i="2"/>
  <c r="AQ38" i="2" s="1"/>
  <c r="AF37" i="2"/>
  <c r="AE37" i="2"/>
  <c r="AD37" i="2" s="1"/>
  <c r="AC37" i="2"/>
  <c r="L37" i="2"/>
  <c r="N37" i="2" s="1"/>
  <c r="AF36" i="2"/>
  <c r="AE36" i="2"/>
  <c r="AD36" i="2" s="1"/>
  <c r="AC36" i="2"/>
  <c r="L36" i="2"/>
  <c r="AQ36" i="2" s="1"/>
  <c r="K19" i="2"/>
  <c r="L19" i="2" s="1"/>
  <c r="AQ19" i="2" s="1"/>
  <c r="K16" i="2"/>
  <c r="L16" i="2" s="1"/>
  <c r="N16" i="2" s="1"/>
  <c r="K17" i="2"/>
  <c r="L17" i="2" s="1"/>
  <c r="AQ17" i="2" s="1"/>
  <c r="K18" i="2"/>
  <c r="L18" i="2" s="1"/>
  <c r="AQ18" i="2" s="1"/>
  <c r="K15" i="2"/>
  <c r="L15" i="2" s="1"/>
  <c r="N15" i="2" s="1"/>
  <c r="AF35" i="2"/>
  <c r="AE35" i="2"/>
  <c r="AD35" i="2" s="1"/>
  <c r="AC35" i="2"/>
  <c r="L35" i="2"/>
  <c r="AQ35" i="2" s="1"/>
  <c r="AF34" i="2"/>
  <c r="AE34" i="2"/>
  <c r="AD34" i="2"/>
  <c r="AC34" i="2"/>
  <c r="L34" i="2"/>
  <c r="AQ34" i="2" s="1"/>
  <c r="AF33" i="2"/>
  <c r="AE33" i="2"/>
  <c r="AC33" i="2"/>
  <c r="L33" i="2"/>
  <c r="AQ33" i="2" s="1"/>
  <c r="AF32" i="2"/>
  <c r="AE32" i="2"/>
  <c r="AD32" i="2" s="1"/>
  <c r="AC32" i="2"/>
  <c r="L32" i="2"/>
  <c r="N32" i="2" s="1"/>
  <c r="AF31" i="2"/>
  <c r="AE31" i="2"/>
  <c r="AC31" i="2"/>
  <c r="L31" i="2"/>
  <c r="N31" i="2" s="1"/>
  <c r="AF28" i="2"/>
  <c r="AE28" i="2"/>
  <c r="AD28" i="2" s="1"/>
  <c r="AC28" i="2"/>
  <c r="L28" i="2"/>
  <c r="N28" i="2" s="1"/>
  <c r="AF27" i="2"/>
  <c r="AE27" i="2"/>
  <c r="AD27" i="2" s="1"/>
  <c r="AC27" i="2"/>
  <c r="L27" i="2"/>
  <c r="AQ27" i="2" s="1"/>
  <c r="AF26" i="2"/>
  <c r="AE26" i="2"/>
  <c r="AD26" i="2" s="1"/>
  <c r="AC26" i="2"/>
  <c r="L26" i="2"/>
  <c r="L25" i="2"/>
  <c r="AQ25" i="2" s="1"/>
  <c r="AF25" i="2"/>
  <c r="AE25" i="2"/>
  <c r="AD25" i="2" s="1"/>
  <c r="AC25" i="2"/>
  <c r="AF24" i="2"/>
  <c r="AE24" i="2"/>
  <c r="AD24" i="2" s="1"/>
  <c r="AC24" i="2"/>
  <c r="L24" i="2"/>
  <c r="AQ24" i="2" s="1"/>
  <c r="AF23" i="2"/>
  <c r="AE23" i="2"/>
  <c r="AD23" i="2" s="1"/>
  <c r="AC23" i="2"/>
  <c r="L23" i="2"/>
  <c r="AQ23" i="2" s="1"/>
  <c r="AF22" i="2"/>
  <c r="AE22" i="2"/>
  <c r="AD22" i="2" s="1"/>
  <c r="AC22" i="2"/>
  <c r="L22" i="2"/>
  <c r="AQ22" i="2" s="1"/>
  <c r="AF21" i="2"/>
  <c r="AE21" i="2"/>
  <c r="AD21" i="2" s="1"/>
  <c r="AC21" i="2"/>
  <c r="L21" i="2"/>
  <c r="AQ21" i="2" s="1"/>
  <c r="AF19" i="2"/>
  <c r="AE19" i="2"/>
  <c r="AD19" i="2" s="1"/>
  <c r="AC19" i="2"/>
  <c r="AF18" i="2"/>
  <c r="AE18" i="2"/>
  <c r="AD18" i="2" s="1"/>
  <c r="AC18" i="2"/>
  <c r="AF17" i="2"/>
  <c r="AE17" i="2"/>
  <c r="AD17" i="2" s="1"/>
  <c r="AC17" i="2"/>
  <c r="AF16" i="2"/>
  <c r="AE16" i="2"/>
  <c r="AD16" i="2" s="1"/>
  <c r="AC16" i="2"/>
  <c r="AF15" i="2"/>
  <c r="AE15" i="2"/>
  <c r="AD15" i="2" s="1"/>
  <c r="AC15" i="2"/>
  <c r="AF14" i="2"/>
  <c r="AE14" i="2"/>
  <c r="AD14" i="2" s="1"/>
  <c r="AC14" i="2"/>
  <c r="L14" i="2"/>
  <c r="AQ14" i="2" s="1"/>
  <c r="AF13" i="2"/>
  <c r="AE13" i="2"/>
  <c r="AD13" i="2" s="1"/>
  <c r="AC13" i="2"/>
  <c r="L13" i="2"/>
  <c r="N13" i="2" s="1"/>
  <c r="AF12" i="2"/>
  <c r="AE12" i="2"/>
  <c r="AC12" i="2"/>
  <c r="L12" i="2"/>
  <c r="AQ12" i="2" s="1"/>
  <c r="AF11" i="2"/>
  <c r="AE11" i="2"/>
  <c r="AD11" i="2" s="1"/>
  <c r="AC11" i="2"/>
  <c r="L11" i="2"/>
  <c r="AQ11" i="2" s="1"/>
  <c r="AF10" i="2"/>
  <c r="AE10" i="2"/>
  <c r="AD10" i="2" s="1"/>
  <c r="AC10" i="2"/>
  <c r="L10" i="2"/>
  <c r="AQ10" i="2" s="1"/>
  <c r="AF9" i="2"/>
  <c r="AE9" i="2"/>
  <c r="AD9" i="2" s="1"/>
  <c r="AC9" i="2"/>
  <c r="L9" i="2"/>
  <c r="AQ9" i="2" s="1"/>
  <c r="AF8" i="2"/>
  <c r="AE8" i="2"/>
  <c r="AD8" i="2" s="1"/>
  <c r="AC8" i="2"/>
  <c r="L8" i="2"/>
  <c r="AQ8" i="2" s="1"/>
  <c r="AF7" i="2"/>
  <c r="AE7" i="2"/>
  <c r="AD7" i="2" s="1"/>
  <c r="AC7" i="2"/>
  <c r="L7" i="2"/>
  <c r="AQ7" i="2" s="1"/>
  <c r="AF6" i="2"/>
  <c r="AE6" i="2"/>
  <c r="AD6" i="2" s="1"/>
  <c r="AC6" i="2"/>
  <c r="L6" i="2"/>
  <c r="AQ6" i="2" s="1"/>
  <c r="AF5" i="2"/>
  <c r="AE5" i="2"/>
  <c r="AD5" i="2" s="1"/>
  <c r="AC5" i="2"/>
  <c r="L5" i="2"/>
  <c r="AQ5" i="2" s="1"/>
  <c r="AF4" i="2"/>
  <c r="AE4" i="2"/>
  <c r="AC4" i="2"/>
  <c r="L4" i="2"/>
  <c r="AQ4" i="2" s="1"/>
  <c r="AF3" i="2"/>
  <c r="AE3" i="2"/>
  <c r="AD3" i="2" s="1"/>
  <c r="AC3" i="2"/>
  <c r="L3" i="2"/>
  <c r="AQ3" i="2" s="1"/>
  <c r="K51" i="2" l="1"/>
  <c r="V37" i="2"/>
  <c r="U37" i="2"/>
  <c r="W37" i="2"/>
  <c r="T37" i="2"/>
  <c r="AG37" i="2"/>
  <c r="AH37" i="2"/>
  <c r="AI37" i="2"/>
  <c r="AJ37" i="2"/>
  <c r="N36" i="2"/>
  <c r="N38" i="2"/>
  <c r="N34" i="2"/>
  <c r="N35" i="2"/>
  <c r="AG35" i="2" s="1"/>
  <c r="AD33" i="2"/>
  <c r="N33" i="2"/>
  <c r="U31" i="2"/>
  <c r="T31" i="2"/>
  <c r="W31" i="2"/>
  <c r="V31" i="2"/>
  <c r="AJ31" i="2"/>
  <c r="AG31" i="2"/>
  <c r="AI31" i="2"/>
  <c r="W32" i="2"/>
  <c r="U32" i="2"/>
  <c r="V32" i="2"/>
  <c r="T32" i="2"/>
  <c r="AG32" i="2"/>
  <c r="AH32" i="2"/>
  <c r="AJ32" i="2"/>
  <c r="AD31" i="2"/>
  <c r="AH31" i="2" s="1"/>
  <c r="AI32" i="2"/>
  <c r="AG28" i="2"/>
  <c r="AH28" i="2"/>
  <c r="AI28" i="2"/>
  <c r="AJ28" i="2"/>
  <c r="V28" i="2"/>
  <c r="T28" i="2"/>
  <c r="W28" i="2"/>
  <c r="U28" i="2"/>
  <c r="N27" i="2"/>
  <c r="AQ26" i="2"/>
  <c r="N26" i="2"/>
  <c r="AH26" i="2" s="1"/>
  <c r="N24" i="2"/>
  <c r="AH24" i="2" s="1"/>
  <c r="N25" i="2"/>
  <c r="N23" i="2"/>
  <c r="N21" i="2"/>
  <c r="AH21" i="2" s="1"/>
  <c r="N22" i="2"/>
  <c r="N19" i="2"/>
  <c r="W15" i="2"/>
  <c r="U15" i="2"/>
  <c r="AG15" i="2"/>
  <c r="V15" i="2"/>
  <c r="T15" i="2"/>
  <c r="AI15" i="2"/>
  <c r="AJ16" i="2"/>
  <c r="AJ15" i="2"/>
  <c r="AG16" i="2"/>
  <c r="AH15" i="2"/>
  <c r="U16" i="2"/>
  <c r="W16" i="2"/>
  <c r="V16" i="2"/>
  <c r="T16" i="2"/>
  <c r="AH16" i="2"/>
  <c r="AI16" i="2"/>
  <c r="AQ16" i="2"/>
  <c r="N17" i="2"/>
  <c r="AH17" i="2" s="1"/>
  <c r="AQ15" i="2"/>
  <c r="N18" i="2"/>
  <c r="AI18" i="2" s="1"/>
  <c r="W13" i="2"/>
  <c r="V13" i="2"/>
  <c r="U13" i="2"/>
  <c r="T13" i="2"/>
  <c r="AJ13" i="2"/>
  <c r="AH13" i="2"/>
  <c r="AG13" i="2"/>
  <c r="AI13" i="2"/>
  <c r="AQ13" i="2"/>
  <c r="N14" i="2"/>
  <c r="N11" i="2"/>
  <c r="AD12" i="2"/>
  <c r="N12" i="2"/>
  <c r="N9" i="2"/>
  <c r="AG9" i="2" s="1"/>
  <c r="N10" i="2"/>
  <c r="N5" i="2"/>
  <c r="N6" i="2"/>
  <c r="AH6" i="2" s="1"/>
  <c r="N7" i="2"/>
  <c r="N8" i="2"/>
  <c r="N3" i="2"/>
  <c r="AG3" i="2" s="1"/>
  <c r="AD4" i="2"/>
  <c r="N4" i="2"/>
  <c r="AK28" i="2" l="1"/>
  <c r="AL28" i="2"/>
  <c r="AK13" i="2"/>
  <c r="AL13" i="2"/>
  <c r="X15" i="2"/>
  <c r="Y15" i="2"/>
  <c r="AK37" i="2"/>
  <c r="AL37" i="2"/>
  <c r="X31" i="2"/>
  <c r="Y31" i="2"/>
  <c r="X37" i="2"/>
  <c r="Y37" i="2"/>
  <c r="AK15" i="2"/>
  <c r="AL15" i="2"/>
  <c r="AM15" i="2" s="1"/>
  <c r="X13" i="2"/>
  <c r="Y13" i="2"/>
  <c r="X28" i="2"/>
  <c r="Y28" i="2"/>
  <c r="X16" i="2"/>
  <c r="Y16" i="2"/>
  <c r="AL32" i="2"/>
  <c r="AK32" i="2"/>
  <c r="Y32" i="2"/>
  <c r="X32" i="2"/>
  <c r="AK16" i="2"/>
  <c r="AL16" i="2"/>
  <c r="AL31" i="2"/>
  <c r="AK31" i="2"/>
  <c r="AM31" i="2" s="1"/>
  <c r="T38" i="2"/>
  <c r="V38" i="2"/>
  <c r="W38" i="2"/>
  <c r="U38" i="2"/>
  <c r="AH38" i="2"/>
  <c r="U36" i="2"/>
  <c r="W36" i="2"/>
  <c r="T36" i="2"/>
  <c r="V36" i="2"/>
  <c r="AJ36" i="2"/>
  <c r="AJ38" i="2"/>
  <c r="AI36" i="2"/>
  <c r="AI38" i="2"/>
  <c r="AH36" i="2"/>
  <c r="AG38" i="2"/>
  <c r="AG36" i="2"/>
  <c r="AH33" i="2"/>
  <c r="W34" i="2"/>
  <c r="V34" i="2"/>
  <c r="U34" i="2"/>
  <c r="T34" i="2"/>
  <c r="AI34" i="2"/>
  <c r="T35" i="2"/>
  <c r="W35" i="2"/>
  <c r="U35" i="2"/>
  <c r="V35" i="2"/>
  <c r="AJ34" i="2"/>
  <c r="AJ35" i="2"/>
  <c r="AI35" i="2"/>
  <c r="AK35" i="2" s="1"/>
  <c r="AH34" i="2"/>
  <c r="AH35" i="2"/>
  <c r="AG34" i="2"/>
  <c r="T33" i="2"/>
  <c r="V33" i="2"/>
  <c r="U33" i="2"/>
  <c r="W33" i="2"/>
  <c r="AJ33" i="2"/>
  <c r="AI33" i="2"/>
  <c r="AG33" i="2"/>
  <c r="T27" i="2"/>
  <c r="V27" i="2"/>
  <c r="W27" i="2"/>
  <c r="U27" i="2"/>
  <c r="AG27" i="2"/>
  <c r="AJ27" i="2"/>
  <c r="AH27" i="2"/>
  <c r="AI27" i="2"/>
  <c r="AG26" i="2"/>
  <c r="AI26" i="2"/>
  <c r="AJ26" i="2"/>
  <c r="T26" i="2"/>
  <c r="V26" i="2"/>
  <c r="W26" i="2"/>
  <c r="U26" i="2"/>
  <c r="T25" i="2"/>
  <c r="AI25" i="2"/>
  <c r="AJ25" i="2"/>
  <c r="W25" i="2"/>
  <c r="V25" i="2"/>
  <c r="U25" i="2"/>
  <c r="W24" i="2"/>
  <c r="V24" i="2"/>
  <c r="U24" i="2"/>
  <c r="T24" i="2"/>
  <c r="AG25" i="2"/>
  <c r="AJ24" i="2"/>
  <c r="AI24" i="2"/>
  <c r="AG24" i="2"/>
  <c r="AH25" i="2"/>
  <c r="T22" i="2"/>
  <c r="V22" i="2"/>
  <c r="U22" i="2"/>
  <c r="W22" i="2"/>
  <c r="W23" i="2"/>
  <c r="V23" i="2"/>
  <c r="U23" i="2"/>
  <c r="T23" i="2"/>
  <c r="W21" i="2"/>
  <c r="V21" i="2"/>
  <c r="U21" i="2"/>
  <c r="T21" i="2"/>
  <c r="AJ23" i="2"/>
  <c r="AI23" i="2"/>
  <c r="AH23" i="2"/>
  <c r="AG23" i="2"/>
  <c r="AJ21" i="2"/>
  <c r="AI21" i="2"/>
  <c r="AG21" i="2"/>
  <c r="AJ22" i="2"/>
  <c r="AI22" i="2"/>
  <c r="AH22" i="2"/>
  <c r="AG22" i="2"/>
  <c r="T19" i="2"/>
  <c r="W19" i="2"/>
  <c r="U19" i="2"/>
  <c r="V19" i="2"/>
  <c r="AH19" i="2"/>
  <c r="AI19" i="2"/>
  <c r="AJ19" i="2"/>
  <c r="AG19" i="2"/>
  <c r="AG18" i="2"/>
  <c r="AG17" i="2"/>
  <c r="AJ17" i="2"/>
  <c r="AI17" i="2"/>
  <c r="W17" i="2"/>
  <c r="U17" i="2"/>
  <c r="V17" i="2"/>
  <c r="T17" i="2"/>
  <c r="T18" i="2"/>
  <c r="W18" i="2"/>
  <c r="V18" i="2"/>
  <c r="U18" i="2"/>
  <c r="AJ18" i="2"/>
  <c r="AH18" i="2"/>
  <c r="T14" i="2"/>
  <c r="U14" i="2"/>
  <c r="W14" i="2"/>
  <c r="V14" i="2"/>
  <c r="AH14" i="2"/>
  <c r="AJ14" i="2"/>
  <c r="AI14" i="2"/>
  <c r="AG14" i="2"/>
  <c r="AH9" i="2"/>
  <c r="T12" i="2"/>
  <c r="V12" i="2"/>
  <c r="W12" i="2"/>
  <c r="U12" i="2"/>
  <c r="AH12" i="2"/>
  <c r="W11" i="2"/>
  <c r="V11" i="2"/>
  <c r="U11" i="2"/>
  <c r="T11" i="2"/>
  <c r="AJ12" i="2"/>
  <c r="AI12" i="2"/>
  <c r="AG12" i="2"/>
  <c r="AJ11" i="2"/>
  <c r="AI11" i="2"/>
  <c r="AH11" i="2"/>
  <c r="AG11" i="2"/>
  <c r="T10" i="2"/>
  <c r="U10" i="2"/>
  <c r="W10" i="2"/>
  <c r="V10" i="2"/>
  <c r="W9" i="2"/>
  <c r="V9" i="2"/>
  <c r="T9" i="2"/>
  <c r="U9" i="2"/>
  <c r="AJ10" i="2"/>
  <c r="AI10" i="2"/>
  <c r="AH10" i="2"/>
  <c r="AG10" i="2"/>
  <c r="AJ9" i="2"/>
  <c r="AI9" i="2"/>
  <c r="AK9" i="2" s="1"/>
  <c r="W7" i="2"/>
  <c r="V7" i="2"/>
  <c r="U7" i="2"/>
  <c r="T7" i="2"/>
  <c r="T8" i="2"/>
  <c r="W8" i="2"/>
  <c r="V8" i="2"/>
  <c r="U8" i="2"/>
  <c r="W5" i="2"/>
  <c r="V5" i="2"/>
  <c r="U5" i="2"/>
  <c r="T5" i="2"/>
  <c r="AG5" i="2"/>
  <c r="AH8" i="2"/>
  <c r="AG7" i="2"/>
  <c r="AG6" i="2"/>
  <c r="AJ5" i="2"/>
  <c r="AH5" i="2"/>
  <c r="AI7" i="2"/>
  <c r="AJ6" i="2"/>
  <c r="W6" i="2"/>
  <c r="V6" i="2"/>
  <c r="U6" i="2"/>
  <c r="T6" i="2"/>
  <c r="AJ8" i="2"/>
  <c r="AG8" i="2"/>
  <c r="AI6" i="2"/>
  <c r="AI5" i="2"/>
  <c r="AI8" i="2"/>
  <c r="AH7" i="2"/>
  <c r="AJ7" i="2"/>
  <c r="AI3" i="2"/>
  <c r="AL3" i="2" s="1"/>
  <c r="AH3" i="2"/>
  <c r="T4" i="2"/>
  <c r="W4" i="2"/>
  <c r="U4" i="2"/>
  <c r="V4" i="2"/>
  <c r="AH4" i="2"/>
  <c r="W3" i="2"/>
  <c r="V3" i="2"/>
  <c r="T3" i="2"/>
  <c r="U3" i="2"/>
  <c r="AJ4" i="2"/>
  <c r="AI4" i="2"/>
  <c r="AG4" i="2"/>
  <c r="AJ3" i="2"/>
  <c r="AF29" i="2"/>
  <c r="L29" i="2"/>
  <c r="AF30" i="2"/>
  <c r="L30" i="2"/>
  <c r="B12" i="1"/>
  <c r="AM28" i="2" l="1"/>
  <c r="AM32" i="2"/>
  <c r="AM16" i="2"/>
  <c r="AN31" i="2"/>
  <c r="AO31" i="2" s="1"/>
  <c r="AN16" i="2"/>
  <c r="AO16" i="2" s="1"/>
  <c r="X36" i="2"/>
  <c r="Y36" i="2"/>
  <c r="AK21" i="2"/>
  <c r="AL21" i="2"/>
  <c r="X18" i="2"/>
  <c r="Y18" i="2"/>
  <c r="AK25" i="2"/>
  <c r="AL25" i="2"/>
  <c r="AK10" i="2"/>
  <c r="AL10" i="2"/>
  <c r="AK23" i="2"/>
  <c r="AL23" i="2"/>
  <c r="AL9" i="2"/>
  <c r="AM9" i="2" s="1"/>
  <c r="AN9" i="2" s="1"/>
  <c r="AO9" i="2" s="1"/>
  <c r="AN15" i="2"/>
  <c r="AO15" i="2" s="1"/>
  <c r="AK6" i="2"/>
  <c r="AL6" i="2"/>
  <c r="Y21" i="2"/>
  <c r="X21" i="2"/>
  <c r="X38" i="2"/>
  <c r="Y38" i="2"/>
  <c r="AL7" i="2"/>
  <c r="AK7" i="2"/>
  <c r="X12" i="2"/>
  <c r="Y12" i="2"/>
  <c r="AL17" i="2"/>
  <c r="AK17" i="2"/>
  <c r="AK5" i="2"/>
  <c r="AL5" i="2"/>
  <c r="AM5" i="2"/>
  <c r="AK14" i="2"/>
  <c r="AL14" i="2"/>
  <c r="X4" i="2"/>
  <c r="Y4" i="2"/>
  <c r="Y25" i="2"/>
  <c r="X25" i="2"/>
  <c r="AL34" i="2"/>
  <c r="AK34" i="2"/>
  <c r="X14" i="2"/>
  <c r="Y14" i="2"/>
  <c r="Y19" i="2"/>
  <c r="X19" i="2"/>
  <c r="X8" i="2"/>
  <c r="Y8" i="2"/>
  <c r="AK26" i="2"/>
  <c r="AL26" i="2"/>
  <c r="X7" i="2"/>
  <c r="Y7" i="2"/>
  <c r="AK3" i="2"/>
  <c r="AN28" i="2"/>
  <c r="AO28" i="2" s="1"/>
  <c r="AK38" i="2"/>
  <c r="AL38" i="2"/>
  <c r="AM38" i="2"/>
  <c r="AL35" i="2"/>
  <c r="AM35" i="2" s="1"/>
  <c r="AN35" i="2" s="1"/>
  <c r="AO35" i="2" s="1"/>
  <c r="AK22" i="2"/>
  <c r="AL22" i="2"/>
  <c r="AK4" i="2"/>
  <c r="AL4" i="2"/>
  <c r="Y11" i="2"/>
  <c r="X11" i="2"/>
  <c r="AL27" i="2"/>
  <c r="AK27" i="2"/>
  <c r="X34" i="2"/>
  <c r="Y34" i="2"/>
  <c r="X17" i="2"/>
  <c r="Y17" i="2"/>
  <c r="Y24" i="2"/>
  <c r="X24" i="2"/>
  <c r="Y3" i="2"/>
  <c r="X3" i="2"/>
  <c r="Y27" i="2"/>
  <c r="X27" i="2"/>
  <c r="AL33" i="2"/>
  <c r="AK33" i="2"/>
  <c r="Y9" i="2"/>
  <c r="X9" i="2"/>
  <c r="AK18" i="2"/>
  <c r="AL18" i="2"/>
  <c r="AN32" i="2"/>
  <c r="AO32" i="2" s="1"/>
  <c r="AK19" i="2"/>
  <c r="AL19" i="2"/>
  <c r="AM19" i="2" s="1"/>
  <c r="Y5" i="2"/>
  <c r="X5" i="2"/>
  <c r="Y23" i="2"/>
  <c r="X23" i="2"/>
  <c r="X33" i="2"/>
  <c r="Y33" i="2"/>
  <c r="Y10" i="2"/>
  <c r="X10" i="2"/>
  <c r="AL36" i="2"/>
  <c r="AK36" i="2"/>
  <c r="AM37" i="2"/>
  <c r="AL11" i="2"/>
  <c r="AK11" i="2"/>
  <c r="AM11" i="2" s="1"/>
  <c r="Y26" i="2"/>
  <c r="X26" i="2"/>
  <c r="Y22" i="2"/>
  <c r="X22" i="2"/>
  <c r="AM13" i="2"/>
  <c r="AN13" i="2" s="1"/>
  <c r="AO13" i="2" s="1"/>
  <c r="AK8" i="2"/>
  <c r="AL8" i="2"/>
  <c r="AK12" i="2"/>
  <c r="AL12" i="2"/>
  <c r="AL24" i="2"/>
  <c r="AK24" i="2"/>
  <c r="AM24" i="2" s="1"/>
  <c r="X6" i="2"/>
  <c r="Y6" i="2"/>
  <c r="X35" i="2"/>
  <c r="Y35" i="2"/>
  <c r="Z37" i="2"/>
  <c r="AA37" i="2" s="1"/>
  <c r="AB37" i="2" s="1"/>
  <c r="Z32" i="2"/>
  <c r="Z31" i="2"/>
  <c r="Z13" i="2"/>
  <c r="Z15" i="2"/>
  <c r="AC30" i="2"/>
  <c r="N29" i="2"/>
  <c r="U29" i="2" s="1"/>
  <c r="AQ29" i="2"/>
  <c r="N30" i="2"/>
  <c r="AJ30" i="2" s="1"/>
  <c r="AQ30" i="2"/>
  <c r="AE29" i="2"/>
  <c r="AC29" i="2"/>
  <c r="AE30" i="2"/>
  <c r="AM25" i="2" l="1"/>
  <c r="AM21" i="2"/>
  <c r="AM17" i="2"/>
  <c r="AM27" i="2"/>
  <c r="AN27" i="2" s="1"/>
  <c r="AO27" i="2" s="1"/>
  <c r="AM12" i="2"/>
  <c r="AM7" i="2"/>
  <c r="AM22" i="2"/>
  <c r="AN22" i="2" s="1"/>
  <c r="AO22" i="2" s="1"/>
  <c r="AM34" i="2"/>
  <c r="AN34" i="2" s="1"/>
  <c r="AO34" i="2" s="1"/>
  <c r="AM33" i="2"/>
  <c r="AM6" i="2"/>
  <c r="AN6" i="2" s="1"/>
  <c r="AO6" i="2" s="1"/>
  <c r="AM36" i="2"/>
  <c r="AM18" i="2"/>
  <c r="AM23" i="2"/>
  <c r="AM10" i="2"/>
  <c r="AN10" i="2" s="1"/>
  <c r="AO10" i="2" s="1"/>
  <c r="AM14" i="2"/>
  <c r="AN24" i="2"/>
  <c r="AO24" i="2" s="1"/>
  <c r="AN14" i="2"/>
  <c r="AO14" i="2" s="1"/>
  <c r="AN23" i="2"/>
  <c r="AO23" i="2" s="1"/>
  <c r="AN25" i="2"/>
  <c r="AO25" i="2" s="1"/>
  <c r="AN18" i="2"/>
  <c r="AO18" i="2" s="1"/>
  <c r="AN7" i="2"/>
  <c r="AO7" i="2" s="1"/>
  <c r="AN33" i="2"/>
  <c r="AO33" i="2" s="1"/>
  <c r="AN11" i="2"/>
  <c r="AO11" i="2" s="1"/>
  <c r="AA31" i="2"/>
  <c r="AB31" i="2" s="1"/>
  <c r="AN17" i="2"/>
  <c r="AO17" i="2" s="1"/>
  <c r="AN38" i="2"/>
  <c r="AO38" i="2" s="1"/>
  <c r="AM26" i="2"/>
  <c r="AM8" i="2"/>
  <c r="AA15" i="2"/>
  <c r="AB15" i="2" s="1"/>
  <c r="AA13" i="2"/>
  <c r="AB13" i="2" s="1"/>
  <c r="AM4" i="2"/>
  <c r="AA32" i="2"/>
  <c r="AB32" i="2" s="1"/>
  <c r="AN37" i="2"/>
  <c r="AO37" i="2" s="1"/>
  <c r="AN21" i="2"/>
  <c r="AO21" i="2" s="1"/>
  <c r="AN12" i="2"/>
  <c r="AO12" i="2" s="1"/>
  <c r="AN19" i="2"/>
  <c r="AO19" i="2" s="1"/>
  <c r="AN5" i="2"/>
  <c r="AO5" i="2" s="1"/>
  <c r="Z33" i="2"/>
  <c r="Z38" i="2"/>
  <c r="Z14" i="2"/>
  <c r="Z9" i="2"/>
  <c r="Z10" i="2"/>
  <c r="Z11" i="2"/>
  <c r="Z12" i="2"/>
  <c r="AI30" i="2"/>
  <c r="W29" i="2"/>
  <c r="AG29" i="2"/>
  <c r="AI29" i="2"/>
  <c r="V29" i="2"/>
  <c r="T30" i="2"/>
  <c r="AQ39" i="2"/>
  <c r="W30" i="2"/>
  <c r="U30" i="2"/>
  <c r="V30" i="2"/>
  <c r="T29" i="2"/>
  <c r="AG30" i="2"/>
  <c r="AJ29" i="2"/>
  <c r="AD29" i="2"/>
  <c r="AH29" i="2" s="1"/>
  <c r="AD30" i="2"/>
  <c r="AH30" i="2" s="1"/>
  <c r="AN36" i="2" l="1"/>
  <c r="AO36" i="2" s="1"/>
  <c r="AA9" i="2"/>
  <c r="AB9" i="2" s="1"/>
  <c r="AA12" i="2"/>
  <c r="AB12" i="2" s="1"/>
  <c r="AN4" i="2"/>
  <c r="AO4" i="2" s="1"/>
  <c r="AA11" i="2"/>
  <c r="AB11" i="2" s="1"/>
  <c r="AA14" i="2"/>
  <c r="AB14" i="2" s="1"/>
  <c r="AA38" i="2"/>
  <c r="AB38" i="2" s="1"/>
  <c r="AA33" i="2"/>
  <c r="AB33" i="2" s="1"/>
  <c r="AN8" i="2"/>
  <c r="AO8" i="2" s="1"/>
  <c r="AN26" i="2"/>
  <c r="AO26" i="2" s="1"/>
  <c r="X29" i="2"/>
  <c r="Y29" i="2"/>
  <c r="AL29" i="2"/>
  <c r="AK29" i="2"/>
  <c r="AM29" i="2" s="1"/>
  <c r="AA10" i="2"/>
  <c r="AB10" i="2" s="1"/>
  <c r="AK30" i="2"/>
  <c r="AL30" i="2"/>
  <c r="X30" i="2"/>
  <c r="Y30" i="2"/>
  <c r="W39" i="2"/>
  <c r="AH39" i="2"/>
  <c r="U39" i="2"/>
  <c r="AG39" i="2"/>
  <c r="AJ39" i="2"/>
  <c r="T39" i="2"/>
  <c r="AM30" i="2" l="1"/>
  <c r="AN30" i="2" s="1"/>
  <c r="AO30" i="2" s="1"/>
  <c r="AN29" i="2"/>
  <c r="AO29" i="2" s="1"/>
  <c r="Z29" i="2"/>
  <c r="Z30" i="2"/>
  <c r="AA30" i="2" s="1"/>
  <c r="AA29" i="2" l="1"/>
  <c r="AB29" i="2" s="1"/>
  <c r="AB30" i="2"/>
  <c r="Z35" i="2" l="1"/>
  <c r="AA35" i="2" l="1"/>
  <c r="AB35" i="2" s="1"/>
  <c r="Z34" i="2"/>
  <c r="AA34" i="2" l="1"/>
  <c r="AB34" i="2" s="1"/>
  <c r="Z25" i="2"/>
  <c r="Z27" i="2"/>
  <c r="Z26" i="2"/>
  <c r="AA26" i="2" l="1"/>
  <c r="AB26" i="2" s="1"/>
  <c r="AA27" i="2"/>
  <c r="AB27" i="2" s="1"/>
  <c r="AA25" i="2"/>
  <c r="AB25" i="2" s="1"/>
  <c r="Z18" i="2"/>
  <c r="AA18" i="2" l="1"/>
  <c r="AB18" i="2" s="1"/>
  <c r="Z17" i="2"/>
  <c r="AA17" i="2" s="1"/>
  <c r="AB17" i="2" l="1"/>
  <c r="Z5" i="2" l="1"/>
  <c r="Z4" i="2"/>
  <c r="AA4" i="2" l="1"/>
  <c r="AB4" i="2" s="1"/>
  <c r="AA5" i="2"/>
  <c r="AB5" i="2" s="1"/>
  <c r="Z7" i="2"/>
  <c r="Z6" i="2"/>
  <c r="Z8" i="2"/>
  <c r="Z36" i="2"/>
  <c r="AA36" i="2" s="1"/>
  <c r="AA8" i="2" l="1"/>
  <c r="AB8" i="2" s="1"/>
  <c r="AA6" i="2"/>
  <c r="AB6" i="2" s="1"/>
  <c r="AA7" i="2"/>
  <c r="AB7" i="2" s="1"/>
  <c r="Z23" i="2"/>
  <c r="Z22" i="2"/>
  <c r="AA22" i="2" l="1"/>
  <c r="AB22" i="2" s="1"/>
  <c r="AA23" i="2"/>
  <c r="AB23" i="2" s="1"/>
  <c r="AM3" i="2"/>
  <c r="Z16" i="2"/>
  <c r="Z28" i="2"/>
  <c r="Z21" i="2"/>
  <c r="Z24" i="2"/>
  <c r="AK39" i="2"/>
  <c r="Z19" i="2"/>
  <c r="Z3" i="2"/>
  <c r="AA3" i="2" s="1"/>
  <c r="X39" i="2"/>
  <c r="Y39" i="2"/>
  <c r="AB36" i="2"/>
  <c r="AL39" i="2"/>
  <c r="AA19" i="2" l="1"/>
  <c r="AB19" i="2" s="1"/>
  <c r="AA24" i="2"/>
  <c r="AB24" i="2" s="1"/>
  <c r="AA21" i="2"/>
  <c r="AB21" i="2" s="1"/>
  <c r="AA28" i="2"/>
  <c r="AB28" i="2" s="1"/>
  <c r="AA16" i="2"/>
  <c r="AB16" i="2" s="1"/>
  <c r="AN3" i="2"/>
  <c r="AO3" i="2" s="1"/>
  <c r="Z39" i="2"/>
  <c r="AM39" i="2"/>
  <c r="AA39" i="2" l="1"/>
  <c r="AB3" i="2"/>
  <c r="AB39" i="2" s="1"/>
  <c r="AB51" i="2" s="1"/>
  <c r="AO39" i="2"/>
  <c r="AO51" i="2" s="1"/>
  <c r="E1" i="2" s="1"/>
  <c r="AN3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2" authorId="0" shapeId="0" xr:uid="{00000000-0006-0000-0100-000001000000}">
      <text>
        <r>
          <rPr>
            <sz val="10"/>
            <rFont val="Arial"/>
            <family val="2"/>
          </rPr>
          <t xml:space="preserve">User:
На 1 оборудование, 10 шт и т.д.
</t>
        </r>
      </text>
    </comment>
  </commentList>
</comments>
</file>

<file path=xl/sharedStrings.xml><?xml version="1.0" encoding="utf-8"?>
<sst xmlns="http://schemas.openxmlformats.org/spreadsheetml/2006/main" count="612" uniqueCount="293">
  <si>
    <t>Вспомогательные данные для расчета сметы</t>
  </si>
  <si>
    <t>Накладные расходы, в % от ЗП</t>
  </si>
  <si>
    <t>Нормативная прибыль, в % от ЗП</t>
  </si>
  <si>
    <t>Накладные расходы, в % от затрат на эксплуатацию машин</t>
  </si>
  <si>
    <t>Нормативная прибыль прибыль в % от затрат на эксплуатацию машин</t>
  </si>
  <si>
    <t>НДС</t>
  </si>
  <si>
    <t>Расчет коэффициента для Татарстана</t>
  </si>
  <si>
    <t>Среднемесячная заработная плата январь-декабрь, г. Москва</t>
  </si>
  <si>
    <t>https://www.fedstat.ru/indicator/57824</t>
  </si>
  <si>
    <t>Среднемесячная заработная плата январь-декабрь, Республика Татарстан</t>
  </si>
  <si>
    <t>Коэффициент</t>
  </si>
  <si>
    <t>Расчет с учетом корректировки ЗТР в уровень РТ</t>
  </si>
  <si>
    <t>план</t>
  </si>
  <si>
    <t>количество оборудования</t>
  </si>
  <si>
    <t>выполнений в год</t>
  </si>
  <si>
    <t>периодичность операции</t>
  </si>
  <si>
    <t>количество операций в год</t>
  </si>
  <si>
    <t>ед. измер. (на какой объем оборудования рассчитана расценка)</t>
  </si>
  <si>
    <t>Всего ед. измер.</t>
  </si>
  <si>
    <t>Цена на единицу измерения: ЗП</t>
  </si>
  <si>
    <t>Цена на ед. мзмерения: ЭМ</t>
  </si>
  <si>
    <t>в  том числе оплата труда машинистов</t>
  </si>
  <si>
    <t>Цена на ед. измер.: МР</t>
  </si>
  <si>
    <t>Всего ЗП:</t>
  </si>
  <si>
    <t>Всего: ЭМ</t>
  </si>
  <si>
    <t>в том числе ЗПМ</t>
  </si>
  <si>
    <t>Всего МР:</t>
  </si>
  <si>
    <t>НР</t>
  </si>
  <si>
    <t>НП</t>
  </si>
  <si>
    <t>Итого в год (без НДС)</t>
  </si>
  <si>
    <t>Итого  в год (с НДС)</t>
  </si>
  <si>
    <t>Справочно: затраты труда человеко-часов (на ед. измерения)</t>
  </si>
  <si>
    <t>22-2203-104-3/1</t>
  </si>
  <si>
    <t>раз в 6 мес.</t>
  </si>
  <si>
    <t>Технический осмотр приборов контроля и управления (ППКП/ПУ/ППКУП)</t>
  </si>
  <si>
    <t>22-2201-84-1/1</t>
  </si>
  <si>
    <t>Технический осмотр прибора приемно-контрольного охранно-пожарного</t>
  </si>
  <si>
    <t>раз в 1 мес.</t>
  </si>
  <si>
    <t>Техническое обслуживание приборов контроля и управления (ППКП/ПУ/ППКУП)</t>
  </si>
  <si>
    <t>22-2203-101-1/1</t>
  </si>
  <si>
    <t>ТО и регулировка прибора приемно-контрольного охранно-пожарного (Образование)</t>
  </si>
  <si>
    <t>раз в 3 мес.</t>
  </si>
  <si>
    <t>Технический осмотр устройств управления (пульт ОПС, клавиатура, пульт настенный)</t>
  </si>
  <si>
    <t>22-2201-77-1/1</t>
  </si>
  <si>
    <t>Технический осмотр пульта охранно-пожарной сигнализации (ОПП)</t>
  </si>
  <si>
    <t>Техническое обслуживание устройств управления (пульт ОПС, клавиатура, пульт настенный)</t>
  </si>
  <si>
    <t>22-2203-90-1/1</t>
  </si>
  <si>
    <t>Техническое обслуживание пульта охранно-пожарной сигнализации (ОПП)</t>
  </si>
  <si>
    <t>22-2203-109-1/1</t>
  </si>
  <si>
    <t>ТО объектовой станции радиосистемы передачи извещений</t>
  </si>
  <si>
    <t>22-2203-91-1/1</t>
  </si>
  <si>
    <t>Техническое обслуживание устройства коммутационного 'УК-ВК'</t>
  </si>
  <si>
    <t>22-2203-105-1/1</t>
  </si>
  <si>
    <t>Техническое обслуживание устройства коммутационного типа 'УК-ВК'</t>
  </si>
  <si>
    <t>раз в 1 год</t>
  </si>
  <si>
    <t>22-2203-92-1/1</t>
  </si>
  <si>
    <t>Техническое обслуживание устройства локализации коротких замыканий</t>
  </si>
  <si>
    <t>Проверка функционирования ИПДЛ-264/1-R3</t>
  </si>
  <si>
    <t>22-2201-82-1/1</t>
  </si>
  <si>
    <t>Технический осмотр извещателя пожарного дымового линейного (ИПДЛ)</t>
  </si>
  <si>
    <t>Техническое обслуживание ИПДЛ-264/1-R3 (линейный извещатель)</t>
  </si>
  <si>
    <t>22-2203-127-1/1</t>
  </si>
  <si>
    <t>ТО извещателя пожарного дымового линейного (ИПДЛ), до 60 м</t>
  </si>
  <si>
    <t>22-2203-106-1/1</t>
  </si>
  <si>
    <t>ТО извещателя пожарного дымового оптико-электронного адресно-аналогового</t>
  </si>
  <si>
    <t>22-2203-102-1/1</t>
  </si>
  <si>
    <t>ТО и регулировка извещателя пожарного ручного (Образование)</t>
  </si>
  <si>
    <t>ТО извещателя пожарного теплового ИП 101-29-PR-R3</t>
  </si>
  <si>
    <t>22-2203-102-2/1</t>
  </si>
  <si>
    <t>ТО и регулировка извещателя пожарного теплового (Образование)</t>
  </si>
  <si>
    <t>Наименование оборудования</t>
  </si>
  <si>
    <t>Тип оборудования</t>
  </si>
  <si>
    <t>Производитель оборудования</t>
  </si>
  <si>
    <t>Блок сопряжения</t>
  </si>
  <si>
    <t>R3‑MC1</t>
  </si>
  <si>
    <t xml:space="preserve"> Наименование расценки</t>
  </si>
  <si>
    <t>Шифр расценки</t>
  </si>
  <si>
    <t>Наименование мероприятия</t>
  </si>
  <si>
    <t>обоснование периодичности</t>
  </si>
  <si>
    <t>Очистка от пыли R3-MC (модуль сопряжения)</t>
  </si>
  <si>
    <t>Расчет в сметных нормативах сборника СН-2012</t>
  </si>
  <si>
    <t>Паспорт? В расценке указан период - годовое, если по правилам применения сборника - надо ставить 1 раз в год</t>
  </si>
  <si>
    <t>ПКМ</t>
  </si>
  <si>
    <t>Прибор приемно‑контрольный пожарный</t>
  </si>
  <si>
    <t>R3‑Рубеж‑2ОП</t>
  </si>
  <si>
    <t>Рубеж</t>
  </si>
  <si>
    <t>Пульт дистанционного управления</t>
  </si>
  <si>
    <t>R3‑Рубеж‑ПДУ</t>
  </si>
  <si>
    <t>Пульт микрофонный сетевой на 16 зон</t>
  </si>
  <si>
    <t>LPA‑DUO‑MIC</t>
  </si>
  <si>
    <t>Поправочный коэффициент</t>
  </si>
  <si>
    <t>Комплексные испытания систем пожарной сигнализации, оповещения и управления эвакуацией людей, дымоудаления</t>
  </si>
  <si>
    <t>22-2203-117-1/1</t>
  </si>
  <si>
    <t>Проверка работоспособности систем противопожарной защиты</t>
  </si>
  <si>
    <t>Справочно: затраты труда человеко-часов (Общее за год)</t>
  </si>
  <si>
    <t>Техническое обслуживание ИЗ-1</t>
  </si>
  <si>
    <t>Техническое обслуживание оповещателей пожарных (свет/звук/комбин.)</t>
  </si>
  <si>
    <t>Расценка на осмотры</t>
  </si>
  <si>
    <t>Периодичность осмотров</t>
  </si>
  <si>
    <t>Расценка на обслуживание</t>
  </si>
  <si>
    <t>периодичносьт обслуживания</t>
  </si>
  <si>
    <t>нет</t>
  </si>
  <si>
    <t>Блок индикации и управления</t>
  </si>
  <si>
    <t>R3‑Рубеж‑БИУ</t>
  </si>
  <si>
    <t>Источник вторичного электропитания резервированный</t>
  </si>
  <si>
    <t>ИВЭПР 12/2 RS‑R3 2х17 БР‑R3</t>
  </si>
  <si>
    <t>22-2201-78-1/1</t>
  </si>
  <si>
    <t>—</t>
  </si>
  <si>
    <t>Аккумуляторная батарея</t>
  </si>
  <si>
    <t>АКБ 17 Ач</t>
  </si>
  <si>
    <t>не обслуживается</t>
  </si>
  <si>
    <t>Бокс резервного питания</t>
  </si>
  <si>
    <t>БР 12 2х40</t>
  </si>
  <si>
    <t>АКБ 40 Ач</t>
  </si>
  <si>
    <t>ИВЭПР 12/2 RS‑R3 2х12 БР‑R3</t>
  </si>
  <si>
    <t>АКБ 12 Ач</t>
  </si>
  <si>
    <t>Извещатель пожарный дымовой адресно‑аналоговый</t>
  </si>
  <si>
    <t>ИП 212‑64‑R3</t>
  </si>
  <si>
    <t>Извещатель пожарный дымовой адресно‑аналоговый (за подвесным потолком)</t>
  </si>
  <si>
    <t>Извещатель пожарный ручной электроконтактный адресный с встроенным изолятором короткого замыкания</t>
  </si>
  <si>
    <t>ИПР 513‑11ИКЗ‑A‑R3</t>
  </si>
  <si>
    <t>1-2201-30-1/1</t>
  </si>
  <si>
    <t>1-2203-32-1/1</t>
  </si>
  <si>
    <t>Извещатель пожарный тепловой адресно‑аналоговый</t>
  </si>
  <si>
    <t>ИП 101‑29‑PR‑R3</t>
  </si>
  <si>
    <t>Извещатель пожарный дымовой линейный</t>
  </si>
  <si>
    <t>ИПДЛ‑264/1‑50‑R3</t>
  </si>
  <si>
    <t>Изолятор шлейфа</t>
  </si>
  <si>
    <t>ИЗ‑1‑R3</t>
  </si>
  <si>
    <t>Адресный релейный модуль</t>
  </si>
  <si>
    <t>РМ‑1‑R3</t>
  </si>
  <si>
    <t>22-2203-104-4/1</t>
  </si>
  <si>
    <t>Адресный релейный модуль с контролем целостности цепи</t>
  </si>
  <si>
    <t>РМ‑1К‑R3</t>
  </si>
  <si>
    <t>РМ‑4‑R3</t>
  </si>
  <si>
    <t>22-2201-81-1/1</t>
  </si>
  <si>
    <t>22-2203-104-11/1</t>
  </si>
  <si>
    <t>РМ‑4К‑R3</t>
  </si>
  <si>
    <t>Адресная метка</t>
  </si>
  <si>
    <t>АМ‑1‑R3</t>
  </si>
  <si>
    <t xml:space="preserve">22-2203-104-7/1 </t>
  </si>
  <si>
    <t>Программатор адресных устройств</t>
  </si>
  <si>
    <t>ПКУ‑1‑R3</t>
  </si>
  <si>
    <t>Устройство коммутационное</t>
  </si>
  <si>
    <t>УК‑ВК/12</t>
  </si>
  <si>
    <t>Объектовая станция</t>
  </si>
  <si>
    <t>РСПИ</t>
  </si>
  <si>
    <t>22-2203-119-1/1</t>
  </si>
  <si>
    <t>22-2203-119-2/1</t>
  </si>
  <si>
    <t>АРМ «Рубеж»</t>
  </si>
  <si>
    <t>ЦПИУ РУБЕЖ‑АРМ‑R3</t>
  </si>
  <si>
    <t>22-2203-113-2/1</t>
  </si>
  <si>
    <t>Бастион</t>
  </si>
  <si>
    <t>Источник бесперебойного питания</t>
  </si>
  <si>
    <t>SKAT‑UPS 1500/900</t>
  </si>
  <si>
    <t>Блок питания</t>
  </si>
  <si>
    <t>VDBPU‑208</t>
  </si>
  <si>
    <t>Извещатель пожарный ручной адресный</t>
  </si>
  <si>
    <t>ИПР 513‑11‑R3</t>
  </si>
  <si>
    <t>Оповещатель звуковой адресный</t>
  </si>
  <si>
    <t>ОПОП 124‑R3</t>
  </si>
  <si>
    <t>22-2203-101-3/1</t>
  </si>
  <si>
    <t>Адресный оповещатель охранно‑пожарный световой</t>
  </si>
  <si>
    <t>ОПОП1‑R3</t>
  </si>
  <si>
    <t>22-2201-80-2/1</t>
  </si>
  <si>
    <t>СОУЭ</t>
  </si>
  <si>
    <t>LPA</t>
  </si>
  <si>
    <t>Стойка оповещения в сборе</t>
  </si>
  <si>
    <t>LPA‑DUO</t>
  </si>
  <si>
    <t>22-2203-118-1/1</t>
  </si>
  <si>
    <t>22-2203-118-2/1</t>
  </si>
  <si>
    <t>Громкоговоритель</t>
  </si>
  <si>
    <t>LPA‑6W</t>
  </si>
  <si>
    <t xml:space="preserve">22-2201-80-4/1 </t>
  </si>
  <si>
    <t>LPA‑10W</t>
  </si>
  <si>
    <t>Потолочный громкоговоритель</t>
  </si>
  <si>
    <t>LPA‑6C 0.75</t>
  </si>
  <si>
    <t>22-2203-118-4/1</t>
  </si>
  <si>
    <t>ИВЭПР 24/3,5 исп.2х17‑Р БР</t>
  </si>
  <si>
    <t>АКБ 12‑17</t>
  </si>
  <si>
    <t>не обслуживается отдельно</t>
  </si>
  <si>
    <t>Оповещатель охранно‑пожарный световой «ВЫХОД» 12 В</t>
  </si>
  <si>
    <t>ОПОП 1‑8</t>
  </si>
  <si>
    <t xml:space="preserve">22-2201-80-2/1 </t>
  </si>
  <si>
    <t>Оповещатель охранно‑пожарный световой «Стрелка влево» 12 В</t>
  </si>
  <si>
    <t>Оповещатель охранно‑пожарный световой «Стрелка вправо» 12 В</t>
  </si>
  <si>
    <t>Оповещатель охранно‑пожарный звуковой 12 В</t>
  </si>
  <si>
    <t>Источник вторичного электропитания резервированный адресный</t>
  </si>
  <si>
    <t>ИВЭПР 12/2 RS‑R3 исп. 2х12 БР</t>
  </si>
  <si>
    <t>Аккумуляторная батарея 12 В 12 Ач</t>
  </si>
  <si>
    <t>HR 12‑12</t>
  </si>
  <si>
    <t>R3-Рубеж-БИУ</t>
  </si>
  <si>
    <t>ИВЭПР 12/2 RS-R3 2х17 БР-R3</t>
  </si>
  <si>
    <t>Теко</t>
  </si>
  <si>
    <t>Проверка автономного питания, замена АКБ при несоответствии</t>
  </si>
  <si>
    <t>Технический осмотр источника вторичного электропитания ИВЭП 112-0,3-1 «Астра-БП1»</t>
  </si>
  <si>
    <t>Паспорт</t>
  </si>
  <si>
    <t>Технический осмотр блока питания / источника резервного питания</t>
  </si>
  <si>
    <t>Техническое обслуживание источника вторичного электропитания типа ИВЭП 112-0,3-1 "Астра-БП1</t>
  </si>
  <si>
    <t>БР-R3 исп.2х40</t>
  </si>
  <si>
    <t>Ежемесячный осмотр, контроль функционирования 1 раз в 6 мес</t>
  </si>
  <si>
    <t xml:space="preserve">22-2201-67-1/1 </t>
  </si>
  <si>
    <t>Технический осмотр блока питания типа БРП-12-01Л</t>
  </si>
  <si>
    <t xml:space="preserve">22-2203-78-1/1 </t>
  </si>
  <si>
    <t xml:space="preserve">Техническое обслуживание блока питания типа БРП-12-01Л </t>
  </si>
  <si>
    <t>ИВЭПР 12/2 RS-R3 2х12 БР-R3</t>
  </si>
  <si>
    <t>Извещатель пожарный дымовой адресно-аналоговый</t>
  </si>
  <si>
    <t>ИП 212-64-R3 W1.03</t>
  </si>
  <si>
    <t>Осмотр извещателя</t>
  </si>
  <si>
    <t xml:space="preserve">1-2201-35-1/1 </t>
  </si>
  <si>
    <t xml:space="preserve">Технический осмотр извещателя пожарного 
дымового аналогово-адресного "ДИП-34А" </t>
  </si>
  <si>
    <t>С целью поддержания исправности ИП в период эксплуатации необходимо проведение регламентных работ, с
периодичностью, согласно ГОСТ Р 59638-2021, которые включают в себя внешний осмотр, с удалением пыли мягкой
тканью и кисточкой, и контроль работоспособности. При появлении сообщения «Предварительная запыленность» или
«Критическая запыленность» на приборе, на персональном компьютере с ПО «Firesec» и не реже одного раза в год
необходимо продуть сжатым воздухом в течение одной минуты со всех сторон оптическую систему ИП через щелевые
2
отверстия в корпусе ИП, используя для этой цели пылесос либо иной компрессор с давлением (4 – 5) кг/см .
Продувку ИП допускается производить как в условиях мастерской (лаборатории), так и по штатному месту
установки. Продувку со снятием ИП следует производить согласно приложению Г. При сильном загрязнении
допускается произвести неполную разборку ИП, согласно приложению Д. Если продувка проводилась со снятием ИП,
то после его повторной установки необходимо выполнить действия, приведенные в 7.2.
Не реже одного раза в год рекомендуется производить контроль работоспособности ИП в системе пожарной
сигнализации со срабатыванием от кнопки ТЕСТ или оптического тестера</t>
  </si>
  <si>
    <t>Контроль работоспособности извещателя</t>
  </si>
  <si>
    <t xml:space="preserve">22-2203-106-2/1 </t>
  </si>
  <si>
    <t>Техническое обслуживание извещателя пожарного дымового оптико-электронного адресно-аналогового ИП 212-34А "ДИП-34А" - испытания извещателя</t>
  </si>
  <si>
    <t xml:space="preserve">22-2203-106-3/1 </t>
  </si>
  <si>
    <t>Техническое обслуживание извещателя 
пожарного дымового оптико-электронного 
адресно-аналогового ИП 212-34А "ДИП-34А" - 
удаление пыли с поверхности дымовой камеры</t>
  </si>
  <si>
    <t>ИПР 513-11ИКЗ-А-R3</t>
  </si>
  <si>
    <t>Извещатель пожарный тепловой</t>
  </si>
  <si>
    <t>ИП 101-29-PR прот. R3</t>
  </si>
  <si>
    <t>ИПДЛ-264/1-50 прот. R3</t>
  </si>
  <si>
    <t>раз в год</t>
  </si>
  <si>
    <t>ИЗ-1 прот. R3</t>
  </si>
  <si>
    <t>РМ-1 прот. R3</t>
  </si>
  <si>
    <t>ТО адресного релейного модуля</t>
  </si>
  <si>
    <t xml:space="preserve">Техническое обслуживание приборов системы охранно-пожарной сигнализации на базе оборудования С2000, блок сигнально-пусковой адресный С2000-СП2 - годовое </t>
  </si>
  <si>
    <t>РМ-4 прот. R3</t>
  </si>
  <si>
    <t xml:space="preserve">Техническое обслуживание приборов системы 
охранно-пожарной сигнализации на базе 
оборудования С2000, блок сигнально-пусковой 
С2000-СП4 - годовое </t>
  </si>
  <si>
    <t>АМ-4 прот. R3</t>
  </si>
  <si>
    <t>ТО адресной метки</t>
  </si>
  <si>
    <t>22-2203-104-7/1</t>
  </si>
  <si>
    <t xml:space="preserve"> Техническое обслуживание приборов системы 
охранно-пожарной сигнализации на базе 
оборудования С2000, расширитель адресный 
С2000-АР2 - годовое</t>
  </si>
  <si>
    <t>РСПИ Стрелец-Мониторинг</t>
  </si>
  <si>
    <t xml:space="preserve">22-2203-119-1/1 </t>
  </si>
  <si>
    <t xml:space="preserve">Техническое обслуживание РСПИ "Стрелец
Мониторинг", объектовая станция - ежемесячное </t>
  </si>
  <si>
    <t xml:space="preserve">22-2203-119-2/1 </t>
  </si>
  <si>
    <t xml:space="preserve">Техническое обслуживание РСПИ "Стрелец
Мониторинг", объектовая станция - полугодовое </t>
  </si>
  <si>
    <t>АРМ Рубеж</t>
  </si>
  <si>
    <t>ЦПИУ РУБЕЖ-АРМ исп.1 прот. R3</t>
  </si>
  <si>
    <t>ТО рабочего места</t>
  </si>
  <si>
    <t xml:space="preserve">22-2203-113-2/1 </t>
  </si>
  <si>
    <t xml:space="preserve">Техническое обслуживание аппаратуры 
программно-аппаратного комплекса "Стрелец
Мониторинг", рабочее место оператора - 
ежемесячное </t>
  </si>
  <si>
    <t>SKAT-UPS 1500/900</t>
  </si>
  <si>
    <t>Осмотр</t>
  </si>
  <si>
    <t xml:space="preserve">1-2201-19-1/1 </t>
  </si>
  <si>
    <t xml:space="preserve">Технический осмотр Источник резервного 
питания "СКАТ-1200Р\20" или "СКАТ-2400Р\20" </t>
  </si>
  <si>
    <t xml:space="preserve">Обслуживание </t>
  </si>
  <si>
    <t xml:space="preserve">1-2203-20-1/1 </t>
  </si>
  <si>
    <t>Техническое обслуживание источника резервного питания "СКАТ-1200Р\20" или "СКАТ-2400Р\20"</t>
  </si>
  <si>
    <t>ОПОП 124-R3</t>
  </si>
  <si>
    <t>22-2203-74-1/1</t>
  </si>
  <si>
    <t>Техническое обслуживание оповещателя пожарного звукового типа "Гамма-3"</t>
  </si>
  <si>
    <t>паспорт</t>
  </si>
  <si>
    <t>Оповещатель световой адресный</t>
  </si>
  <si>
    <t>ОПОП 1-R3</t>
  </si>
  <si>
    <t>Технический осмотр приборов системы оповещения и управления эвакуацией людей (СОУЭ), оповещатель световой - ежемесячный</t>
  </si>
  <si>
    <t>Техническое обслуживание 1</t>
  </si>
  <si>
    <t>Техническое обслуживание 2 Контроль работоспособности извещателя</t>
  </si>
  <si>
    <t>Техническое обслуживание 3 Продувка от пыли</t>
  </si>
  <si>
    <t>Всего извещателей</t>
  </si>
  <si>
    <t>ИТОГО АПС</t>
  </si>
  <si>
    <t>Техническое обслуживание микрофонной консоли СОУЭ</t>
  </si>
  <si>
    <t xml:space="preserve">22-2203-118-4/1 </t>
  </si>
  <si>
    <r>
      <rPr>
        <sz val="11"/>
        <color theme="1"/>
        <rFont val="Calibri"/>
        <family val="2"/>
        <charset val="204"/>
      </rPr>
      <t>Техническое обслуживание системы оповещения и управления эвакуацией (СОУЭ) на базе оборудования типа "Сонар", микрофонная консоль - ежемесячно</t>
    </r>
    <r>
      <rPr>
        <strike/>
        <sz val="11"/>
        <color theme="1"/>
        <rFont val="Calibri"/>
        <family val="2"/>
        <charset val="204"/>
      </rPr>
      <t>е Т</t>
    </r>
  </si>
  <si>
    <t>Паспорт (в рапсценке указан период - ежемесячно)</t>
  </si>
  <si>
    <t>Техническое обслуживание приборов речевого оповещения типа РЕЧОР</t>
  </si>
  <si>
    <t xml:space="preserve">Техническое обслуживание системы оповещения 
и управления эвакуацией (СОУЭ) на базе 
оборудования типа "Сонар", оборудование стойки 
оповещения на одну магистральную линию - 
ежемесячное </t>
  </si>
  <si>
    <t xml:space="preserve"> Техническое обслуживание системы оповещения и управления эвакуацией (СОУЭ) на базе оборудования типа "Сонар", оборудование стойки оповещения на одну магистральную линию - годовое</t>
  </si>
  <si>
    <t>Техническое обслуживание оповещателей пожарных (речевой)</t>
  </si>
  <si>
    <t xml:space="preserve">Технический осмотр приборов системы 
оповещения и управления эвакуацией людей 
(СОУЭ), громкоговоритель корпусного типа LB1
UM06E - ежемесячный </t>
  </si>
  <si>
    <t xml:space="preserve">Оповещатель охранно‑пожарный световой </t>
  </si>
  <si>
    <t>ОПОП</t>
  </si>
  <si>
    <t>Обслуживание оповещетеля светового</t>
  </si>
  <si>
    <t xml:space="preserve">22-2201-93-1/1 </t>
  </si>
  <si>
    <t xml:space="preserve">Технический осмотр светозвукового настенного 
пожарного оповещателя размером до 350х150 мм - с пола </t>
  </si>
  <si>
    <t>Обслуживание оповещателя звукового</t>
  </si>
  <si>
    <t>Технический регламент эксплуатации здания (по данному виду оборудования производитель не указывает необходимость регулярного обслуживания. Джля соблюдения требований гост об осмотре оповещателей, период сокращен до года, но операцию оставили)</t>
  </si>
  <si>
    <t xml:space="preserve">Обоснование расценки </t>
  </si>
  <si>
    <t>ИП 101-29-PR прот. R2</t>
  </si>
  <si>
    <t>Осмотр извещателя теплового</t>
  </si>
  <si>
    <t>Технический осмотр извещателя пожарного теплового адресно-аналогового "ATD"</t>
  </si>
  <si>
    <t>1-2201-26-1/1</t>
  </si>
  <si>
    <t>10, 11, 38</t>
  </si>
  <si>
    <t>10, 11, 39</t>
  </si>
  <si>
    <t>10, 11, 40</t>
  </si>
  <si>
    <t>10, 11, 41</t>
  </si>
  <si>
    <t>12, 40</t>
  </si>
  <si>
    <t>21, 22, 40</t>
  </si>
  <si>
    <t>8, 9, 10</t>
  </si>
  <si>
    <t>АПС  и СОУЭ</t>
  </si>
  <si>
    <t>18, 43</t>
  </si>
  <si>
    <t>22-2203-146-3/1</t>
  </si>
  <si>
    <t>Техническое обслуживание приборов охранно пожарной сигнализации на базе оборудования С2000, преобразователь интерфейсов С2000-ПИ - ежеквартальное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</si>
</sst>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 #,##0.00_-;_-* \-??_-;_-@_-"/>
    <numFmt numFmtId="165" formatCode="0.00000"/>
    <numFmt numFmtId="166" formatCode="_-* #,##0_-;\-* #,##0_-;_-* \-??_-;_-@_-"/>
    <numFmt numFmtId="167" formatCode="_-* #,##0.00\ _₽_-;\-* #,##0.00\ _₽_-;_-* &quot;-&quot;??\ _₽_-;_-@_-"/>
  </numFmts>
  <fonts count="20" x14ac:knownFonts="1">
    <font>
      <sz val="11"/>
      <color theme="1"/>
      <name val="Calibri"/>
      <family val="2"/>
      <charset val="1"/>
    </font>
    <font>
      <sz val="10"/>
      <name val="Arial"/>
      <family val="2"/>
      <charset val="204"/>
    </font>
    <font>
      <sz val="10"/>
      <name val="Times New Roman"/>
      <family val="1"/>
      <charset val="204"/>
    </font>
    <font>
      <u/>
      <sz val="11"/>
      <color theme="10"/>
      <name val="Calibri"/>
      <family val="2"/>
      <charset val="204"/>
    </font>
    <font>
      <sz val="11"/>
      <name val="Calibri"/>
      <family val="2"/>
      <charset val="1"/>
    </font>
    <font>
      <b/>
      <sz val="18"/>
      <name val="Calibri"/>
      <family val="2"/>
      <charset val="1"/>
    </font>
    <font>
      <b/>
      <sz val="10"/>
      <color rgb="FFFFFFFF"/>
      <name val="Calibri"/>
      <family val="2"/>
      <charset val="204"/>
    </font>
    <font>
      <sz val="10"/>
      <name val="Arial"/>
      <family val="2"/>
    </font>
    <font>
      <b/>
      <sz val="11"/>
      <color theme="1"/>
      <name val="Calibri"/>
      <family val="2"/>
      <charset val="204"/>
    </font>
    <font>
      <b/>
      <sz val="10"/>
      <name val="Calibri"/>
      <family val="2"/>
      <charset val="204"/>
    </font>
    <font>
      <sz val="11"/>
      <color rgb="FFC00000"/>
      <name val="Calibri"/>
      <family val="2"/>
      <charset val="1"/>
    </font>
    <font>
      <b/>
      <sz val="10"/>
      <color rgb="FF002060"/>
      <name val="Calibri"/>
      <family val="2"/>
      <charset val="204"/>
    </font>
    <font>
      <b/>
      <sz val="11"/>
      <color theme="1"/>
      <name val="Calibri"/>
      <family val="2"/>
      <charset val="204"/>
      <scheme val="minor"/>
    </font>
    <font>
      <sz val="11"/>
      <color theme="1"/>
      <name val="Calibri"/>
      <family val="2"/>
      <scheme val="minor"/>
    </font>
    <font>
      <sz val="10"/>
      <color theme="1"/>
      <name val="Arial"/>
      <family val="2"/>
      <charset val="204"/>
    </font>
    <font>
      <b/>
      <sz val="10"/>
      <color theme="1"/>
      <name val="Arial"/>
      <family val="2"/>
      <charset val="204"/>
    </font>
    <font>
      <sz val="11"/>
      <name val="Calibri"/>
      <family val="2"/>
    </font>
    <font>
      <sz val="11"/>
      <color theme="1"/>
      <name val="Calibri"/>
      <family val="2"/>
      <charset val="204"/>
    </font>
    <font>
      <strike/>
      <sz val="11"/>
      <color theme="1"/>
      <name val="Calibri"/>
      <family val="2"/>
      <charset val="204"/>
    </font>
    <font>
      <sz val="8"/>
      <name val="Calibri"/>
      <family val="2"/>
      <charset val="1"/>
    </font>
  </fonts>
  <fills count="11">
    <fill>
      <patternFill patternType="none"/>
    </fill>
    <fill>
      <patternFill patternType="gray125"/>
    </fill>
    <fill>
      <patternFill patternType="solid">
        <fgColor rgb="FF1F4E78"/>
        <bgColor rgb="FF003366"/>
      </patternFill>
    </fill>
    <fill>
      <patternFill patternType="solid">
        <fgColor rgb="FF00B050"/>
        <bgColor rgb="FF003366"/>
      </patternFill>
    </fill>
    <fill>
      <patternFill patternType="solid">
        <fgColor theme="0" tint="-4.9989318521683403E-2"/>
        <bgColor rgb="FF003366"/>
      </patternFill>
    </fill>
    <fill>
      <patternFill patternType="solid">
        <fgColor rgb="FFFFC000"/>
        <bgColor indexed="64"/>
      </patternFill>
    </fill>
    <fill>
      <patternFill patternType="solid">
        <fgColor rgb="FFFFC000"/>
        <bgColor rgb="FF003366"/>
      </patternFill>
    </fill>
    <fill>
      <patternFill patternType="solid">
        <fgColor rgb="FFFFFF00"/>
        <bgColor indexed="64"/>
      </patternFill>
    </fill>
    <fill>
      <patternFill patternType="solid">
        <fgColor theme="5" tint="0.79989013336588644"/>
        <bgColor rgb="FFCCCCFF"/>
      </patternFill>
    </fill>
    <fill>
      <patternFill patternType="solid">
        <fgColor rgb="FFFFFF00"/>
        <bgColor rgb="FFFFFF00"/>
      </patternFill>
    </fill>
    <fill>
      <patternFill patternType="solid">
        <fgColor rgb="FFFF0000"/>
        <bgColor indexed="64"/>
      </patternFill>
    </fill>
  </fills>
  <borders count="10">
    <border>
      <left/>
      <right/>
      <top/>
      <bottom/>
      <diagonal/>
    </border>
    <border>
      <left style="thin">
        <color rgb="FFBBBBBB"/>
      </left>
      <right style="thin">
        <color rgb="FFBBBBBB"/>
      </right>
      <top style="thin">
        <color rgb="FFBBBBBB"/>
      </top>
      <bottom style="thin">
        <color rgb="FFBBBBBB"/>
      </bottom>
      <diagonal/>
    </border>
    <border>
      <left style="thin">
        <color rgb="FFBBBBBB"/>
      </left>
      <right/>
      <top/>
      <bottom style="thin">
        <color rgb="FFBBBBBB"/>
      </bottom>
      <diagonal/>
    </border>
    <border>
      <left/>
      <right/>
      <top/>
      <bottom style="thin">
        <color rgb="FFBBBBBB"/>
      </bottom>
      <diagonal/>
    </border>
    <border>
      <left style="thin">
        <color rgb="FFBBBBBB"/>
      </left>
      <right style="thin">
        <color rgb="FFBBBBBB"/>
      </right>
      <top/>
      <bottom/>
      <diagonal/>
    </border>
    <border>
      <left style="thick">
        <color rgb="FF000000"/>
      </left>
      <right style="medium">
        <color rgb="FFCCCCCC"/>
      </right>
      <top style="thick">
        <color rgb="FF000000"/>
      </top>
      <bottom style="medium">
        <color rgb="FFCCCCCC"/>
      </bottom>
      <diagonal/>
    </border>
    <border>
      <left style="medium">
        <color rgb="FFCCCCCC"/>
      </left>
      <right style="medium">
        <color rgb="FFCCCCCC"/>
      </right>
      <top style="thick">
        <color rgb="FF000000"/>
      </top>
      <bottom style="medium">
        <color rgb="FFCCCCCC"/>
      </bottom>
      <diagonal/>
    </border>
    <border>
      <left style="thick">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style="thin">
        <color rgb="FFBBBBBB"/>
      </right>
      <top/>
      <bottom/>
      <diagonal/>
    </border>
  </borders>
  <cellStyleXfs count="4">
    <xf numFmtId="0" fontId="0" fillId="0" borderId="0"/>
    <xf numFmtId="0" fontId="1" fillId="0" borderId="0"/>
    <xf numFmtId="0" fontId="13" fillId="0" borderId="0"/>
    <xf numFmtId="43" fontId="13" fillId="0" borderId="0" applyFont="0" applyFill="0" applyBorder="0" applyAlignment="0" applyProtection="0"/>
  </cellStyleXfs>
  <cellXfs count="95">
    <xf numFmtId="0" fontId="0" fillId="0" borderId="0" xfId="0"/>
    <xf numFmtId="0" fontId="0" fillId="0" borderId="0" xfId="0" applyAlignment="1"/>
    <xf numFmtId="0" fontId="0" fillId="0" borderId="1" xfId="0" applyFont="1" applyBorder="1" applyAlignment="1"/>
    <xf numFmtId="0" fontId="2" fillId="0" borderId="0" xfId="0" applyFont="1" applyAlignment="1"/>
    <xf numFmtId="9" fontId="0" fillId="0" borderId="1" xfId="0" applyNumberFormat="1" applyBorder="1" applyAlignment="1"/>
    <xf numFmtId="9" fontId="0" fillId="0" borderId="0" xfId="0" applyNumberFormat="1" applyAlignment="1"/>
    <xf numFmtId="164" fontId="2" fillId="0" borderId="0" xfId="0" applyNumberFormat="1" applyFont="1" applyAlignment="1">
      <alignment wrapText="1"/>
    </xf>
    <xf numFmtId="0" fontId="3" fillId="0" borderId="0" xfId="0" applyFont="1" applyAlignment="1"/>
    <xf numFmtId="165" fontId="2" fillId="0" borderId="0" xfId="0" applyNumberFormat="1" applyFont="1" applyAlignment="1">
      <alignment wrapText="1"/>
    </xf>
    <xf numFmtId="0" fontId="4" fillId="0" borderId="0" xfId="0" applyFont="1" applyAlignment="1"/>
    <xf numFmtId="0" fontId="5" fillId="0" borderId="2" xfId="0" applyFont="1" applyBorder="1" applyAlignment="1">
      <alignment vertical="center"/>
    </xf>
    <xf numFmtId="0" fontId="5" fillId="0" borderId="3" xfId="0" applyFont="1" applyBorder="1" applyAlignment="1">
      <alignment vertical="center"/>
    </xf>
    <xf numFmtId="0" fontId="6" fillId="2" borderId="1" xfId="0" applyFont="1" applyFill="1" applyBorder="1" applyAlignment="1">
      <alignment horizontal="center" vertical="center" wrapText="1"/>
    </xf>
    <xf numFmtId="164" fontId="0" fillId="0" borderId="1" xfId="0" applyNumberFormat="1" applyFont="1" applyBorder="1" applyAlignment="1"/>
    <xf numFmtId="166" fontId="0" fillId="0" borderId="1" xfId="0" applyNumberFormat="1" applyBorder="1" applyAlignment="1"/>
    <xf numFmtId="39" fontId="0" fillId="0" borderId="0" xfId="0" applyNumberFormat="1"/>
    <xf numFmtId="0" fontId="8" fillId="0" borderId="0" xfId="0" applyFont="1" applyAlignment="1"/>
    <xf numFmtId="0" fontId="8" fillId="0" borderId="0" xfId="0" applyFont="1" applyBorder="1" applyAlignment="1"/>
    <xf numFmtId="0" fontId="8" fillId="0" borderId="1" xfId="0" applyFont="1" applyBorder="1" applyAlignment="1"/>
    <xf numFmtId="0" fontId="8" fillId="0" borderId="0" xfId="0" applyFont="1"/>
    <xf numFmtId="164" fontId="8" fillId="0" borderId="1" xfId="0" applyNumberFormat="1" applyFont="1" applyBorder="1" applyAlignment="1"/>
    <xf numFmtId="0" fontId="6"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66" fontId="10" fillId="0" borderId="1" xfId="0" applyNumberFormat="1" applyFont="1" applyBorder="1" applyAlignment="1"/>
    <xf numFmtId="0" fontId="10" fillId="0" borderId="1" xfId="0" applyFont="1" applyBorder="1" applyAlignment="1"/>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4" fontId="0" fillId="5" borderId="1" xfId="0" applyNumberFormat="1" applyFont="1" applyFill="1" applyBorder="1" applyAlignment="1"/>
    <xf numFmtId="0" fontId="11" fillId="4" borderId="4" xfId="0" applyFont="1" applyFill="1" applyBorder="1" applyAlignment="1">
      <alignment horizontal="center" vertical="center" wrapText="1"/>
    </xf>
    <xf numFmtId="0" fontId="0" fillId="0" borderId="0" xfId="0" applyNumberFormat="1"/>
    <xf numFmtId="164" fontId="0" fillId="0" borderId="0" xfId="0" applyNumberFormat="1"/>
    <xf numFmtId="0" fontId="14" fillId="0" borderId="0" xfId="2" applyFont="1" applyBorder="1" applyAlignment="1">
      <alignment horizontal="right" vertical="center"/>
    </xf>
    <xf numFmtId="0" fontId="13" fillId="0" borderId="0" xfId="2" applyAlignment="1">
      <alignment vertical="top"/>
    </xf>
    <xf numFmtId="0" fontId="14" fillId="0" borderId="0" xfId="2" applyFont="1" applyBorder="1" applyAlignment="1">
      <alignment horizontal="left"/>
    </xf>
    <xf numFmtId="0" fontId="13" fillId="0" borderId="0" xfId="2" applyAlignment="1">
      <alignment vertical="center"/>
    </xf>
    <xf numFmtId="0" fontId="14" fillId="0" borderId="0" xfId="2" applyFont="1" applyBorder="1" applyAlignment="1">
      <alignment horizontal="right" vertical="top"/>
    </xf>
    <xf numFmtId="39" fontId="13" fillId="0" borderId="0" xfId="2" applyNumberFormat="1" applyAlignment="1"/>
    <xf numFmtId="0" fontId="13" fillId="0" borderId="0" xfId="2" applyAlignment="1"/>
    <xf numFmtId="0" fontId="13" fillId="0" borderId="1" xfId="2" applyBorder="1" applyAlignment="1"/>
    <xf numFmtId="0" fontId="14" fillId="0" borderId="7" xfId="2" applyFont="1" applyBorder="1" applyAlignment="1"/>
    <xf numFmtId="0" fontId="14" fillId="0" borderId="8" xfId="2" applyFont="1" applyBorder="1" applyAlignment="1"/>
    <xf numFmtId="0" fontId="14" fillId="0" borderId="8" xfId="2" applyFont="1" applyBorder="1" applyAlignment="1">
      <alignment horizontal="right"/>
    </xf>
    <xf numFmtId="0" fontId="14" fillId="0" borderId="0" xfId="2" applyFont="1" applyBorder="1" applyAlignment="1">
      <alignment horizontal="right"/>
    </xf>
    <xf numFmtId="0" fontId="14" fillId="0" borderId="0" xfId="2" applyFont="1" applyBorder="1" applyAlignment="1"/>
    <xf numFmtId="43" fontId="12" fillId="0" borderId="0" xfId="3" applyFont="1" applyAlignment="1"/>
    <xf numFmtId="0" fontId="15" fillId="0" borderId="8" xfId="2" applyFont="1" applyBorder="1" applyAlignment="1">
      <alignment horizontal="center"/>
    </xf>
    <xf numFmtId="0" fontId="0" fillId="0" borderId="1" xfId="0" applyBorder="1"/>
    <xf numFmtId="0" fontId="0" fillId="0" borderId="1" xfId="0" applyBorder="1" applyAlignment="1">
      <alignment horizontal="center" vertical="center"/>
    </xf>
    <xf numFmtId="164" fontId="0" fillId="0" borderId="1" xfId="0" applyNumberFormat="1" applyBorder="1"/>
    <xf numFmtId="166" fontId="0" fillId="0" borderId="1" xfId="0" applyNumberFormat="1" applyBorder="1"/>
    <xf numFmtId="164" fontId="0" fillId="5" borderId="1" xfId="0" applyNumberFormat="1" applyFill="1" applyBorder="1"/>
    <xf numFmtId="0" fontId="0" fillId="0" borderId="1" xfId="0" applyBorder="1" applyAlignment="1">
      <alignment wrapText="1"/>
    </xf>
    <xf numFmtId="0" fontId="14" fillId="7" borderId="5" xfId="2" applyFont="1" applyFill="1" applyBorder="1" applyAlignment="1">
      <alignment vertical="top"/>
    </xf>
    <xf numFmtId="0" fontId="14" fillId="7" borderId="6" xfId="2" applyFont="1" applyFill="1" applyBorder="1" applyAlignment="1">
      <alignment vertical="top"/>
    </xf>
    <xf numFmtId="0" fontId="14" fillId="7" borderId="6" xfId="2" applyFont="1" applyFill="1" applyBorder="1" applyAlignment="1">
      <alignment horizontal="right" vertical="top"/>
    </xf>
    <xf numFmtId="0" fontId="13" fillId="7" borderId="0" xfId="2" applyFill="1" applyAlignment="1">
      <alignment vertical="top"/>
    </xf>
    <xf numFmtId="0" fontId="13" fillId="7" borderId="1" xfId="2" applyFill="1" applyBorder="1" applyAlignment="1">
      <alignment vertical="top"/>
    </xf>
    <xf numFmtId="0" fontId="14" fillId="7" borderId="0" xfId="2" applyFont="1" applyFill="1" applyBorder="1" applyAlignment="1">
      <alignment horizontal="right" vertical="top"/>
    </xf>
    <xf numFmtId="0" fontId="14" fillId="7" borderId="7" xfId="2" applyFont="1" applyFill="1" applyBorder="1" applyAlignment="1">
      <alignment vertical="top"/>
    </xf>
    <xf numFmtId="0" fontId="14" fillId="7" borderId="8" xfId="2" applyFont="1" applyFill="1" applyBorder="1" applyAlignment="1">
      <alignment vertical="top"/>
    </xf>
    <xf numFmtId="0" fontId="14" fillId="7" borderId="8" xfId="2" applyFont="1" applyFill="1" applyBorder="1" applyAlignment="1">
      <alignment horizontal="right" vertical="top"/>
    </xf>
    <xf numFmtId="39" fontId="13" fillId="7" borderId="0" xfId="2" applyNumberFormat="1" applyFill="1" applyAlignment="1"/>
    <xf numFmtId="0" fontId="14" fillId="7" borderId="7" xfId="2" applyFont="1" applyFill="1" applyBorder="1" applyAlignment="1"/>
    <xf numFmtId="0" fontId="14" fillId="7" borderId="8" xfId="2" applyFont="1" applyFill="1" applyBorder="1" applyAlignment="1"/>
    <xf numFmtId="0" fontId="14" fillId="7" borderId="8" xfId="2" applyFont="1" applyFill="1" applyBorder="1" applyAlignment="1">
      <alignment horizontal="right"/>
    </xf>
    <xf numFmtId="0" fontId="14" fillId="7" borderId="0" xfId="2" applyFont="1" applyFill="1" applyBorder="1" applyAlignment="1">
      <alignment horizontal="left"/>
    </xf>
    <xf numFmtId="0" fontId="14" fillId="7" borderId="0" xfId="2" applyFont="1" applyFill="1" applyBorder="1" applyAlignment="1">
      <alignment horizontal="right"/>
    </xf>
    <xf numFmtId="0" fontId="16" fillId="0" borderId="1" xfId="0" applyFont="1" applyBorder="1" applyAlignment="1">
      <alignment horizontal="center" vertical="center"/>
    </xf>
    <xf numFmtId="0" fontId="13" fillId="7" borderId="1" xfId="2" applyFill="1" applyBorder="1" applyAlignment="1"/>
    <xf numFmtId="0" fontId="13" fillId="7" borderId="0" xfId="2" applyFill="1" applyAlignment="1"/>
    <xf numFmtId="0" fontId="0" fillId="0" borderId="4" xfId="0" applyBorder="1"/>
    <xf numFmtId="0" fontId="0" fillId="0" borderId="0" xfId="0" applyAlignment="1">
      <alignment horizontal="center" vertical="center" wrapText="1"/>
    </xf>
    <xf numFmtId="164" fontId="0" fillId="0" borderId="9" xfId="0" applyNumberFormat="1" applyBorder="1"/>
    <xf numFmtId="166" fontId="0" fillId="0" borderId="0" xfId="0" applyNumberFormat="1" applyAlignment="1"/>
    <xf numFmtId="0" fontId="10" fillId="0" borderId="1" xfId="0" applyFont="1" applyBorder="1"/>
    <xf numFmtId="0" fontId="17" fillId="0" borderId="1" xfId="0" applyFont="1" applyBorder="1" applyAlignment="1">
      <alignment wrapText="1"/>
    </xf>
    <xf numFmtId="0" fontId="18" fillId="0" borderId="1" xfId="0" applyFont="1" applyBorder="1"/>
    <xf numFmtId="0" fontId="0" fillId="8" borderId="0" xfId="0" applyFill="1"/>
    <xf numFmtId="0" fontId="0" fillId="9" borderId="0" xfId="0" applyFill="1"/>
    <xf numFmtId="0" fontId="14" fillId="0" borderId="7" xfId="2" applyFont="1" applyFill="1" applyBorder="1" applyAlignment="1"/>
    <xf numFmtId="0" fontId="0" fillId="0" borderId="1" xfId="0" applyFill="1" applyBorder="1"/>
    <xf numFmtId="164" fontId="0" fillId="0" borderId="1" xfId="0" applyNumberFormat="1" applyFill="1" applyBorder="1"/>
    <xf numFmtId="166" fontId="0" fillId="0" borderId="1" xfId="0" applyNumberFormat="1" applyFill="1" applyBorder="1"/>
    <xf numFmtId="0" fontId="0" fillId="0" borderId="0" xfId="0" applyFill="1"/>
    <xf numFmtId="0" fontId="0" fillId="0" borderId="1" xfId="0" applyFill="1" applyBorder="1" applyAlignment="1">
      <alignment wrapText="1"/>
    </xf>
    <xf numFmtId="39" fontId="13" fillId="7" borderId="0" xfId="2" applyNumberFormat="1" applyFill="1" applyAlignment="1">
      <alignment horizontal="center"/>
    </xf>
    <xf numFmtId="167" fontId="0" fillId="0" borderId="0" xfId="0" applyNumberFormat="1" applyAlignment="1"/>
    <xf numFmtId="167" fontId="8" fillId="0" borderId="0" xfId="0" applyNumberFormat="1" applyFont="1" applyAlignment="1"/>
    <xf numFmtId="164" fontId="8" fillId="0" borderId="0" xfId="0" applyNumberFormat="1" applyFont="1" applyAlignment="1"/>
    <xf numFmtId="0" fontId="0" fillId="0" borderId="4" xfId="0" applyFill="1" applyBorder="1" applyAlignment="1"/>
    <xf numFmtId="166" fontId="0" fillId="0" borderId="4" xfId="0" applyNumberFormat="1" applyFill="1" applyBorder="1" applyAlignment="1"/>
    <xf numFmtId="166" fontId="0" fillId="0" borderId="4" xfId="0" applyNumberFormat="1" applyFill="1" applyBorder="1"/>
    <xf numFmtId="164" fontId="0" fillId="10" borderId="1" xfId="0" applyNumberFormat="1" applyFill="1" applyBorder="1"/>
    <xf numFmtId="0" fontId="0" fillId="0" borderId="0" xfId="0" applyFill="1" applyBorder="1" applyAlignment="1"/>
    <xf numFmtId="167" fontId="4" fillId="0" borderId="0" xfId="0" applyNumberFormat="1" applyFont="1" applyAlignment="1"/>
  </cellXfs>
  <cellStyles count="4">
    <cellStyle name="Обычный" xfId="0" builtinId="0"/>
    <cellStyle name="Обычный 2" xfId="1" xr:uid="{00000000-0005-0000-0000-000001000000}"/>
    <cellStyle name="Обычный 3" xfId="2" xr:uid="{193727B3-378B-4681-8037-FF9FAAC98275}"/>
    <cellStyle name="Финансовый 2" xfId="3" xr:uid="{FE8D5AF6-BF36-4768-96DC-51ED43D84A7A}"/>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cuments/4%20&#1056;&#1072;&#1089;&#1095;&#1077;&#1090;%20&#1089;&#1090;&#1086;&#1080;&#1084;&#1086;&#1089;&#1090;&#1080;%20&#1089;&#1086;&#1076;&#1077;&#1088;&#1078;&#1072;&#1085;&#1080;&#1103;/2.%20&#1056;&#1072;&#1089;&#1095;&#1077;&#1090;%20&#1087;&#1088;&#1086;&#1077;&#1082;&#1090;&#1086;&#1074;/&#1064;&#1082;&#1086;&#1083;&#1072;%20&#1047;&#1072;&#1084;&#1077;&#1083;&#1077;&#1082;&#1077;&#1089;&#1100;&#1077;/&#1040;&#1055;&#1057;_&#1064;&#1050;&#1054;&#1051;&#1040;_&#1047;&#1072;&#1084;&#1077;&#1083;&#1077;&#1082;&#1077;&#1089;&#1100;&#107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ocuments/4%20&#1056;&#1072;&#1089;&#1095;&#1077;&#1090;%20&#1089;&#1090;&#1086;&#1080;&#1084;&#1086;&#1089;&#1090;&#1080;%20&#1089;&#1086;&#1076;&#1077;&#1088;&#1078;&#1072;&#1085;&#1080;&#1103;/2.%20&#1056;&#1072;&#1089;&#1095;&#1077;&#1090;%20&#1087;&#1088;&#1086;&#1077;&#1082;&#1090;&#1086;&#1074;/&#1064;&#1082;&#1086;&#1083;&#1072;%20&#1051;&#1077;&#1090;&#1086;/&#1056;&#1072;&#1073;&#1086;&#1090;&#1072;%20&#1089;%20&#1040;%20&#1089;&#1080;&#1089;&#1090;&#1077;&#1084;&#1089;%20&#1094;&#1077;&#1085;&#1072;%20&#1085;&#1072;%2001%2007%202026%20&#1087;&#1072;&#1089;&#1087;&#1086;&#1088;&#1090;&#1072;/&#1054;&#1057;_&#1046;&#1050;_&#1051;&#1045;&#1058;&#1054;_09.0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s_sn2012_costing_&#1056;&#1058;_03_07_2026_structure_perio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040;&#1055;&#1057;_&#1046;&#1050;_&#1051;&#1045;&#1058;&#1054;_06.07%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ная таблица"/>
      <sheetName val="Данные для расчета"/>
      <sheetName val="АПС СН-2012 расчёт"/>
    </sheetNames>
    <sheetDataSet>
      <sheetData sheetId="0"/>
      <sheetData sheetId="1">
        <row r="12">
          <cell r="B12">
            <v>1.998</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для расчета"/>
      <sheetName val="ОС СН-2012 расчёт"/>
    </sheetNames>
    <sheetDataSet>
      <sheetData sheetId="0">
        <row r="12">
          <cell r="B12">
            <v>1.998</v>
          </cell>
        </row>
      </sheetData>
      <sheetData sheetId="1">
        <row r="23">
          <cell r="AO23">
            <v>931747.56617117126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для расчета"/>
      <sheetName val="АПС СН-2012 расчёт"/>
    </sheetNames>
    <sheetDataSet>
      <sheetData sheetId="0">
        <row r="12">
          <cell r="B12">
            <v>1.998</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ная таблица"/>
      <sheetName val="Данные для расчета"/>
      <sheetName val="АПС СН-2012 расчёт"/>
    </sheetNames>
    <sheetDataSet>
      <sheetData sheetId="0"/>
      <sheetData sheetId="1">
        <row r="12">
          <cell r="B12">
            <v>1.998</v>
          </cell>
        </row>
      </sheetData>
      <sheetData sheetId="2"/>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CB25-AA1A-4BAA-986A-53693DA6800B}">
  <dimension ref="A1:L50"/>
  <sheetViews>
    <sheetView topLeftCell="A19" workbookViewId="0">
      <selection activeCell="F49" sqref="F49"/>
    </sheetView>
  </sheetViews>
  <sheetFormatPr defaultRowHeight="15" x14ac:dyDescent="0.25"/>
  <cols>
    <col min="1" max="1" width="11.28515625" style="1" customWidth="1"/>
    <col min="2" max="2" width="39" style="1" customWidth="1"/>
    <col min="3" max="3" width="21.7109375" style="1" customWidth="1"/>
    <col min="4" max="4" width="11.28515625" style="1" customWidth="1"/>
    <col min="5" max="5" width="23.28515625" style="1" customWidth="1"/>
    <col min="6" max="6" width="11.28515625" style="1" customWidth="1"/>
    <col min="7" max="7" width="18.85546875" style="1" customWidth="1"/>
    <col min="8" max="9" width="11.28515625" style="1" customWidth="1"/>
    <col min="10" max="12" width="9.140625" style="1"/>
  </cols>
  <sheetData>
    <row r="1" spans="1:11" ht="15.75" thickBot="1" x14ac:dyDescent="0.3">
      <c r="A1" s="34"/>
      <c r="B1" s="34"/>
      <c r="C1" s="34"/>
      <c r="D1" s="34"/>
      <c r="E1" s="31" t="s">
        <v>97</v>
      </c>
      <c r="F1" s="31" t="s">
        <v>98</v>
      </c>
      <c r="G1" s="31" t="s">
        <v>99</v>
      </c>
      <c r="H1" s="31" t="s">
        <v>100</v>
      </c>
      <c r="I1" s="34"/>
      <c r="J1" s="34"/>
      <c r="K1" s="34"/>
    </row>
    <row r="2" spans="1:11" ht="16.5" thickTop="1" thickBot="1" x14ac:dyDescent="0.3">
      <c r="A2" s="52" t="s">
        <v>85</v>
      </c>
      <c r="B2" s="53" t="s">
        <v>83</v>
      </c>
      <c r="C2" s="53" t="s">
        <v>84</v>
      </c>
      <c r="D2" s="54">
        <v>7</v>
      </c>
      <c r="E2" s="55" t="s">
        <v>101</v>
      </c>
      <c r="F2" s="55"/>
      <c r="G2" s="56" t="s">
        <v>39</v>
      </c>
      <c r="H2" s="57">
        <v>12</v>
      </c>
      <c r="I2" s="32"/>
      <c r="J2" s="32"/>
      <c r="K2" s="32"/>
    </row>
    <row r="3" spans="1:11" ht="15.75" thickBot="1" x14ac:dyDescent="0.3">
      <c r="A3" s="58" t="s">
        <v>85</v>
      </c>
      <c r="B3" s="59" t="s">
        <v>86</v>
      </c>
      <c r="C3" s="59" t="s">
        <v>87</v>
      </c>
      <c r="D3" s="60">
        <v>1</v>
      </c>
      <c r="E3" s="57"/>
      <c r="F3" s="57"/>
      <c r="G3" s="61" t="s">
        <v>46</v>
      </c>
      <c r="H3" s="57">
        <v>12</v>
      </c>
      <c r="I3" s="32"/>
      <c r="J3" s="37"/>
      <c r="K3" s="37"/>
    </row>
    <row r="4" spans="1:11" ht="15.75" thickBot="1" x14ac:dyDescent="0.3">
      <c r="A4" s="58" t="s">
        <v>85</v>
      </c>
      <c r="B4" s="59" t="s">
        <v>102</v>
      </c>
      <c r="C4" s="59" t="s">
        <v>103</v>
      </c>
      <c r="D4" s="60">
        <v>1</v>
      </c>
      <c r="E4" s="57"/>
      <c r="F4" s="57"/>
      <c r="G4" s="61" t="s">
        <v>46</v>
      </c>
      <c r="H4" s="57">
        <v>12</v>
      </c>
      <c r="I4" s="32"/>
      <c r="J4" s="37"/>
      <c r="K4" s="37"/>
    </row>
    <row r="5" spans="1:11" ht="15.75" thickBot="1" x14ac:dyDescent="0.3">
      <c r="A5" s="58" t="s">
        <v>85</v>
      </c>
      <c r="B5" s="59" t="s">
        <v>104</v>
      </c>
      <c r="C5" s="59" t="s">
        <v>105</v>
      </c>
      <c r="D5" s="60">
        <v>2</v>
      </c>
      <c r="E5" s="61" t="s">
        <v>106</v>
      </c>
      <c r="F5" s="57">
        <v>10</v>
      </c>
      <c r="G5" s="61" t="s">
        <v>50</v>
      </c>
      <c r="H5" s="57">
        <v>2</v>
      </c>
      <c r="I5" s="32"/>
      <c r="J5" s="36"/>
      <c r="K5" s="38"/>
    </row>
    <row r="6" spans="1:11" ht="15.75" thickBot="1" x14ac:dyDescent="0.3">
      <c r="A6" s="62" t="s">
        <v>107</v>
      </c>
      <c r="B6" s="63" t="s">
        <v>108</v>
      </c>
      <c r="C6" s="63" t="s">
        <v>109</v>
      </c>
      <c r="D6" s="64">
        <v>4</v>
      </c>
      <c r="E6" s="65" t="s">
        <v>110</v>
      </c>
      <c r="F6" s="66"/>
      <c r="G6" s="66"/>
      <c r="H6" s="66"/>
      <c r="I6" s="32"/>
      <c r="J6" s="36"/>
      <c r="K6" s="38"/>
    </row>
    <row r="7" spans="1:11" ht="15.75" thickBot="1" x14ac:dyDescent="0.3">
      <c r="A7" s="58" t="s">
        <v>107</v>
      </c>
      <c r="B7" s="63" t="s">
        <v>111</v>
      </c>
      <c r="C7" s="63" t="s">
        <v>112</v>
      </c>
      <c r="D7" s="64">
        <v>2</v>
      </c>
      <c r="E7" s="61" t="s">
        <v>106</v>
      </c>
      <c r="F7" s="57">
        <v>10</v>
      </c>
      <c r="G7" s="61" t="s">
        <v>50</v>
      </c>
      <c r="H7" s="57">
        <v>2</v>
      </c>
      <c r="I7" s="32"/>
      <c r="J7" s="37"/>
      <c r="K7" s="37"/>
    </row>
    <row r="8" spans="1:11" ht="15.75" thickBot="1" x14ac:dyDescent="0.3">
      <c r="A8" s="58" t="s">
        <v>107</v>
      </c>
      <c r="B8" s="59" t="s">
        <v>108</v>
      </c>
      <c r="C8" s="63" t="s">
        <v>113</v>
      </c>
      <c r="D8" s="64">
        <v>4</v>
      </c>
      <c r="E8" s="66" t="s">
        <v>110</v>
      </c>
      <c r="F8" s="66"/>
      <c r="G8" s="66"/>
      <c r="H8" s="66"/>
      <c r="I8" s="32"/>
      <c r="J8" s="37"/>
      <c r="K8" s="37"/>
    </row>
    <row r="9" spans="1:11" ht="15.75" thickBot="1" x14ac:dyDescent="0.3">
      <c r="A9" s="62" t="s">
        <v>85</v>
      </c>
      <c r="B9" s="63" t="s">
        <v>104</v>
      </c>
      <c r="C9" s="63" t="s">
        <v>114</v>
      </c>
      <c r="D9" s="64">
        <v>8</v>
      </c>
      <c r="E9" s="61" t="s">
        <v>106</v>
      </c>
      <c r="F9" s="57">
        <v>10</v>
      </c>
      <c r="G9" s="61" t="s">
        <v>50</v>
      </c>
      <c r="H9" s="57">
        <v>2</v>
      </c>
      <c r="I9" s="32"/>
      <c r="J9" s="37"/>
      <c r="K9" s="37"/>
    </row>
    <row r="10" spans="1:11" ht="15.75" thickBot="1" x14ac:dyDescent="0.3">
      <c r="A10" s="58" t="s">
        <v>107</v>
      </c>
      <c r="B10" s="59" t="s">
        <v>108</v>
      </c>
      <c r="C10" s="63" t="s">
        <v>115</v>
      </c>
      <c r="D10" s="64">
        <v>16</v>
      </c>
      <c r="E10" s="66" t="s">
        <v>110</v>
      </c>
      <c r="F10" s="66"/>
      <c r="G10" s="66"/>
      <c r="H10" s="66"/>
      <c r="I10" s="32"/>
      <c r="J10" s="37"/>
      <c r="K10" s="37"/>
    </row>
    <row r="11" spans="1:11" ht="15.75" thickBot="1" x14ac:dyDescent="0.3">
      <c r="A11" s="58" t="s">
        <v>85</v>
      </c>
      <c r="B11" s="63" t="s">
        <v>116</v>
      </c>
      <c r="C11" s="63" t="s">
        <v>117</v>
      </c>
      <c r="D11" s="64">
        <v>1524</v>
      </c>
      <c r="E11" s="66"/>
      <c r="F11" s="66"/>
      <c r="G11" s="68" t="s">
        <v>63</v>
      </c>
      <c r="H11" s="66">
        <v>1</v>
      </c>
      <c r="I11" s="32"/>
      <c r="J11" s="37"/>
      <c r="K11" s="37"/>
    </row>
    <row r="12" spans="1:11" ht="15.75" thickBot="1" x14ac:dyDescent="0.3">
      <c r="A12" s="58" t="s">
        <v>85</v>
      </c>
      <c r="B12" s="63" t="s">
        <v>118</v>
      </c>
      <c r="C12" s="63" t="s">
        <v>117</v>
      </c>
      <c r="D12" s="64">
        <v>294</v>
      </c>
      <c r="E12" s="66"/>
      <c r="F12" s="66"/>
      <c r="G12" s="68" t="s">
        <v>63</v>
      </c>
      <c r="H12" s="66">
        <v>1</v>
      </c>
      <c r="I12" s="32"/>
      <c r="J12" s="37"/>
      <c r="K12" s="37"/>
    </row>
    <row r="13" spans="1:11" ht="15.75" thickBot="1" x14ac:dyDescent="0.3">
      <c r="A13" s="58" t="s">
        <v>85</v>
      </c>
      <c r="B13" s="63" t="s">
        <v>119</v>
      </c>
      <c r="C13" s="63" t="s">
        <v>120</v>
      </c>
      <c r="D13" s="64">
        <v>102</v>
      </c>
      <c r="E13" s="66" t="s">
        <v>121</v>
      </c>
      <c r="F13" s="66">
        <v>1</v>
      </c>
      <c r="G13" s="66" t="s">
        <v>122</v>
      </c>
      <c r="H13" s="66">
        <v>1</v>
      </c>
      <c r="I13" s="32"/>
      <c r="J13" s="37"/>
      <c r="K13" s="37"/>
    </row>
    <row r="14" spans="1:11" ht="15.75" thickBot="1" x14ac:dyDescent="0.3">
      <c r="A14" s="58" t="s">
        <v>85</v>
      </c>
      <c r="B14" s="63" t="s">
        <v>123</v>
      </c>
      <c r="C14" s="63" t="s">
        <v>124</v>
      </c>
      <c r="D14" s="64">
        <v>20</v>
      </c>
      <c r="E14" s="66"/>
      <c r="F14" s="66"/>
      <c r="G14" s="66" t="s">
        <v>68</v>
      </c>
      <c r="H14" s="66">
        <v>2</v>
      </c>
      <c r="I14" s="32"/>
      <c r="J14" s="37"/>
      <c r="K14" s="37"/>
    </row>
    <row r="15" spans="1:11" ht="15.75" thickBot="1" x14ac:dyDescent="0.3">
      <c r="A15" s="58" t="s">
        <v>85</v>
      </c>
      <c r="B15" s="59" t="s">
        <v>125</v>
      </c>
      <c r="C15" s="63" t="s">
        <v>126</v>
      </c>
      <c r="D15" s="64">
        <v>25</v>
      </c>
      <c r="E15" s="61" t="s">
        <v>58</v>
      </c>
      <c r="F15" s="69">
        <v>1</v>
      </c>
      <c r="G15" s="61" t="s">
        <v>61</v>
      </c>
      <c r="H15" s="66">
        <v>1</v>
      </c>
      <c r="I15" s="32"/>
      <c r="J15" s="37"/>
      <c r="K15" s="37"/>
    </row>
    <row r="16" spans="1:11" ht="15.75" thickBot="1" x14ac:dyDescent="0.3">
      <c r="A16" s="58" t="s">
        <v>85</v>
      </c>
      <c r="B16" s="63" t="s">
        <v>127</v>
      </c>
      <c r="C16" s="63" t="s">
        <v>128</v>
      </c>
      <c r="D16" s="64">
        <v>169</v>
      </c>
      <c r="E16" s="69"/>
      <c r="F16" s="69"/>
      <c r="G16" s="68" t="s">
        <v>55</v>
      </c>
      <c r="H16" s="66">
        <v>12</v>
      </c>
      <c r="I16" s="32"/>
      <c r="J16" s="37"/>
      <c r="K16" s="37"/>
    </row>
    <row r="17" spans="1:9" ht="15.75" thickBot="1" x14ac:dyDescent="0.3">
      <c r="A17" s="58" t="s">
        <v>85</v>
      </c>
      <c r="B17" s="63" t="s">
        <v>129</v>
      </c>
      <c r="C17" s="63" t="s">
        <v>130</v>
      </c>
      <c r="D17" s="64">
        <v>87</v>
      </c>
      <c r="E17" s="66"/>
      <c r="F17" s="66"/>
      <c r="G17" s="69" t="s">
        <v>131</v>
      </c>
      <c r="H17" s="66">
        <v>1</v>
      </c>
      <c r="I17" s="32"/>
    </row>
    <row r="18" spans="1:9" ht="15.75" thickBot="1" x14ac:dyDescent="0.3">
      <c r="A18" s="58" t="s">
        <v>85</v>
      </c>
      <c r="B18" s="63" t="s">
        <v>132</v>
      </c>
      <c r="C18" s="63" t="s">
        <v>133</v>
      </c>
      <c r="D18" s="64">
        <v>4</v>
      </c>
      <c r="E18" s="66"/>
      <c r="F18" s="66"/>
      <c r="G18" s="69" t="s">
        <v>131</v>
      </c>
      <c r="H18" s="66">
        <v>1</v>
      </c>
      <c r="I18" s="32"/>
    </row>
    <row r="19" spans="1:9" ht="15.75" thickBot="1" x14ac:dyDescent="0.3">
      <c r="A19" s="58" t="s">
        <v>85</v>
      </c>
      <c r="B19" s="63" t="s">
        <v>129</v>
      </c>
      <c r="C19" s="63" t="s">
        <v>134</v>
      </c>
      <c r="D19" s="64">
        <v>40</v>
      </c>
      <c r="E19" s="69" t="s">
        <v>135</v>
      </c>
      <c r="F19" s="69">
        <v>11</v>
      </c>
      <c r="G19" s="69" t="s">
        <v>136</v>
      </c>
      <c r="H19" s="66">
        <v>1</v>
      </c>
      <c r="I19" s="32"/>
    </row>
    <row r="20" spans="1:9" ht="15.75" thickBot="1" x14ac:dyDescent="0.3">
      <c r="A20" s="58" t="s">
        <v>85</v>
      </c>
      <c r="B20" s="63" t="s">
        <v>132</v>
      </c>
      <c r="C20" s="63" t="s">
        <v>137</v>
      </c>
      <c r="D20" s="64">
        <v>12</v>
      </c>
      <c r="E20" s="69" t="s">
        <v>135</v>
      </c>
      <c r="F20" s="69">
        <v>11</v>
      </c>
      <c r="G20" s="69" t="s">
        <v>136</v>
      </c>
      <c r="H20" s="66">
        <v>1</v>
      </c>
      <c r="I20" s="32"/>
    </row>
    <row r="21" spans="1:9" ht="1.5" customHeight="1" thickBot="1" x14ac:dyDescent="0.3">
      <c r="A21" s="58" t="s">
        <v>85</v>
      </c>
      <c r="B21" s="63" t="s">
        <v>138</v>
      </c>
      <c r="C21" s="63" t="s">
        <v>139</v>
      </c>
      <c r="D21" s="64">
        <v>4</v>
      </c>
      <c r="E21" s="66"/>
      <c r="F21" s="66"/>
      <c r="G21" s="69" t="s">
        <v>140</v>
      </c>
      <c r="H21" s="66">
        <v>1</v>
      </c>
      <c r="I21" s="32"/>
    </row>
    <row r="22" spans="1:9" ht="15.75" thickBot="1" x14ac:dyDescent="0.3">
      <c r="A22" s="39" t="s">
        <v>85</v>
      </c>
      <c r="B22" s="40" t="s">
        <v>141</v>
      </c>
      <c r="C22" s="40" t="s">
        <v>142</v>
      </c>
      <c r="D22" s="41">
        <v>1</v>
      </c>
      <c r="E22" s="42"/>
      <c r="F22" s="42"/>
      <c r="G22" s="42"/>
      <c r="H22" s="42"/>
      <c r="I22" s="32"/>
    </row>
    <row r="23" spans="1:9" ht="15.75" thickBot="1" x14ac:dyDescent="0.3">
      <c r="A23" s="58" t="s">
        <v>85</v>
      </c>
      <c r="B23" s="63" t="s">
        <v>143</v>
      </c>
      <c r="C23" s="63" t="s">
        <v>144</v>
      </c>
      <c r="D23" s="64">
        <v>10</v>
      </c>
      <c r="E23" s="66"/>
      <c r="F23" s="66"/>
      <c r="G23" s="61" t="s">
        <v>52</v>
      </c>
      <c r="H23" s="66">
        <v>1</v>
      </c>
      <c r="I23" s="32"/>
    </row>
    <row r="24" spans="1:9" ht="15.75" thickBot="1" x14ac:dyDescent="0.3">
      <c r="A24" s="62" t="s">
        <v>85</v>
      </c>
      <c r="B24" s="63" t="s">
        <v>73</v>
      </c>
      <c r="C24" s="63" t="s">
        <v>74</v>
      </c>
      <c r="D24" s="64">
        <v>1</v>
      </c>
      <c r="E24" s="66"/>
      <c r="F24" s="66"/>
      <c r="G24" s="68" t="s">
        <v>32</v>
      </c>
      <c r="H24" s="66">
        <v>1</v>
      </c>
      <c r="I24" s="32"/>
    </row>
    <row r="25" spans="1:9" ht="15.75" thickBot="1" x14ac:dyDescent="0.3">
      <c r="A25" s="62" t="s">
        <v>107</v>
      </c>
      <c r="B25" s="63" t="s">
        <v>145</v>
      </c>
      <c r="C25" s="63" t="s">
        <v>146</v>
      </c>
      <c r="D25" s="64">
        <v>1</v>
      </c>
      <c r="E25" s="61" t="s">
        <v>147</v>
      </c>
      <c r="F25" s="66">
        <v>1</v>
      </c>
      <c r="G25" s="61" t="s">
        <v>148</v>
      </c>
      <c r="H25" s="61">
        <v>1</v>
      </c>
      <c r="I25" s="32"/>
    </row>
    <row r="26" spans="1:9" ht="15.75" thickBot="1" x14ac:dyDescent="0.3">
      <c r="A26" s="62" t="s">
        <v>85</v>
      </c>
      <c r="B26" s="63" t="s">
        <v>149</v>
      </c>
      <c r="C26" s="63" t="s">
        <v>150</v>
      </c>
      <c r="D26" s="64">
        <v>1</v>
      </c>
      <c r="E26" s="66"/>
      <c r="F26" s="66"/>
      <c r="G26" s="61" t="s">
        <v>151</v>
      </c>
      <c r="H26" s="66">
        <v>12</v>
      </c>
      <c r="I26" s="32"/>
    </row>
    <row r="27" spans="1:9" ht="15.75" thickBot="1" x14ac:dyDescent="0.3">
      <c r="A27" s="62" t="s">
        <v>152</v>
      </c>
      <c r="B27" s="63" t="s">
        <v>153</v>
      </c>
      <c r="C27" s="63" t="s">
        <v>154</v>
      </c>
      <c r="D27" s="64">
        <v>1</v>
      </c>
      <c r="E27" s="66" t="s">
        <v>106</v>
      </c>
      <c r="F27" s="69">
        <v>1</v>
      </c>
      <c r="G27" s="66" t="s">
        <v>50</v>
      </c>
      <c r="H27" s="66">
        <v>1</v>
      </c>
      <c r="I27" s="32"/>
    </row>
    <row r="28" spans="1:9" ht="15.75" thickBot="1" x14ac:dyDescent="0.3">
      <c r="A28" s="39" t="s">
        <v>107</v>
      </c>
      <c r="B28" s="40" t="s">
        <v>155</v>
      </c>
      <c r="C28" s="40" t="s">
        <v>156</v>
      </c>
      <c r="D28" s="41">
        <v>14</v>
      </c>
      <c r="E28" s="42"/>
      <c r="F28" s="42"/>
      <c r="G28" s="42"/>
      <c r="H28" s="42"/>
      <c r="I28" s="32"/>
    </row>
    <row r="29" spans="1:9" ht="15.75" thickBot="1" x14ac:dyDescent="0.3">
      <c r="A29" s="62" t="s">
        <v>85</v>
      </c>
      <c r="B29" s="63" t="s">
        <v>129</v>
      </c>
      <c r="C29" s="63" t="s">
        <v>130</v>
      </c>
      <c r="D29" s="64">
        <v>14</v>
      </c>
      <c r="E29" s="66"/>
      <c r="F29" s="66"/>
      <c r="G29" s="69" t="s">
        <v>131</v>
      </c>
      <c r="H29" s="66">
        <v>1</v>
      </c>
      <c r="I29" s="32"/>
    </row>
    <row r="30" spans="1:9" ht="15.75" thickBot="1" x14ac:dyDescent="0.3">
      <c r="A30" s="62" t="s">
        <v>85</v>
      </c>
      <c r="B30" s="63" t="s">
        <v>116</v>
      </c>
      <c r="C30" s="63" t="s">
        <v>117</v>
      </c>
      <c r="D30" s="64">
        <v>5</v>
      </c>
      <c r="E30" s="66"/>
      <c r="F30" s="66"/>
      <c r="G30" s="68" t="s">
        <v>63</v>
      </c>
      <c r="H30" s="66">
        <v>1</v>
      </c>
      <c r="I30" s="32"/>
    </row>
    <row r="31" spans="1:9" ht="15.75" thickBot="1" x14ac:dyDescent="0.3">
      <c r="A31" s="62" t="s">
        <v>85</v>
      </c>
      <c r="B31" s="63" t="s">
        <v>157</v>
      </c>
      <c r="C31" s="63" t="s">
        <v>158</v>
      </c>
      <c r="D31" s="64">
        <v>1</v>
      </c>
      <c r="E31" s="66" t="s">
        <v>121</v>
      </c>
      <c r="F31" s="66">
        <v>1</v>
      </c>
      <c r="G31" s="66" t="s">
        <v>122</v>
      </c>
      <c r="H31" s="66">
        <v>1</v>
      </c>
      <c r="I31" s="32"/>
    </row>
    <row r="32" spans="1:9" ht="15.75" thickBot="1" x14ac:dyDescent="0.3">
      <c r="A32" s="62" t="s">
        <v>85</v>
      </c>
      <c r="B32" s="63" t="s">
        <v>132</v>
      </c>
      <c r="C32" s="63" t="s">
        <v>137</v>
      </c>
      <c r="D32" s="64">
        <v>2</v>
      </c>
      <c r="E32" s="69" t="s">
        <v>135</v>
      </c>
      <c r="F32" s="69">
        <v>11</v>
      </c>
      <c r="G32" s="69" t="s">
        <v>136</v>
      </c>
      <c r="H32" s="66">
        <v>1</v>
      </c>
      <c r="I32" s="32"/>
    </row>
    <row r="33" spans="1:9" ht="15.75" thickBot="1" x14ac:dyDescent="0.3">
      <c r="A33" s="39" t="s">
        <v>85</v>
      </c>
      <c r="B33" s="40" t="s">
        <v>159</v>
      </c>
      <c r="C33" s="40" t="s">
        <v>160</v>
      </c>
      <c r="D33" s="41">
        <v>2</v>
      </c>
      <c r="E33" s="42"/>
      <c r="F33" s="42"/>
      <c r="G33" s="37" t="s">
        <v>161</v>
      </c>
      <c r="H33" s="42">
        <v>4</v>
      </c>
      <c r="I33" s="32"/>
    </row>
    <row r="34" spans="1:9" ht="15.75" thickBot="1" x14ac:dyDescent="0.3">
      <c r="A34" s="39" t="s">
        <v>85</v>
      </c>
      <c r="B34" s="40" t="s">
        <v>162</v>
      </c>
      <c r="C34" s="40" t="s">
        <v>163</v>
      </c>
      <c r="D34" s="41">
        <v>2</v>
      </c>
      <c r="E34" s="42" t="s">
        <v>164</v>
      </c>
      <c r="F34" s="42">
        <v>12</v>
      </c>
      <c r="G34" s="42"/>
      <c r="H34" s="42"/>
      <c r="I34" s="32"/>
    </row>
    <row r="35" spans="1:9" ht="15.75" thickBot="1" x14ac:dyDescent="0.3">
      <c r="A35" s="39" t="s">
        <v>85</v>
      </c>
      <c r="B35" s="40" t="s">
        <v>127</v>
      </c>
      <c r="C35" s="40" t="s">
        <v>128</v>
      </c>
      <c r="D35" s="41">
        <v>5</v>
      </c>
      <c r="E35" s="42"/>
      <c r="F35" s="42"/>
      <c r="G35" s="38" t="s">
        <v>55</v>
      </c>
      <c r="H35" s="42">
        <v>12</v>
      </c>
      <c r="I35" s="32"/>
    </row>
    <row r="36" spans="1:9" ht="15.75" thickBot="1" x14ac:dyDescent="0.3">
      <c r="A36" s="39"/>
      <c r="B36" s="40"/>
      <c r="C36" s="40"/>
      <c r="D36" s="40"/>
      <c r="E36" s="43"/>
      <c r="F36" s="43"/>
      <c r="G36" s="38"/>
      <c r="H36" s="42"/>
      <c r="I36" s="44">
        <v>1013939.3647799999</v>
      </c>
    </row>
    <row r="37" spans="1:9" ht="15.75" thickBot="1" x14ac:dyDescent="0.3">
      <c r="A37" s="39"/>
      <c r="B37" s="45" t="s">
        <v>165</v>
      </c>
      <c r="C37" s="40"/>
      <c r="D37" s="40"/>
      <c r="E37" s="43"/>
      <c r="F37" s="43"/>
      <c r="G37" s="43"/>
      <c r="H37" s="43"/>
      <c r="I37" s="37"/>
    </row>
    <row r="38" spans="1:9" ht="15.75" thickBot="1" x14ac:dyDescent="0.3">
      <c r="A38" s="62" t="s">
        <v>166</v>
      </c>
      <c r="B38" s="63" t="s">
        <v>167</v>
      </c>
      <c r="C38" s="63" t="s">
        <v>168</v>
      </c>
      <c r="D38" s="64">
        <v>1</v>
      </c>
      <c r="E38" s="66" t="s">
        <v>169</v>
      </c>
      <c r="F38" s="66">
        <v>11</v>
      </c>
      <c r="G38" s="69" t="s">
        <v>170</v>
      </c>
      <c r="H38" s="66">
        <v>1</v>
      </c>
      <c r="I38" s="37"/>
    </row>
    <row r="39" spans="1:9" ht="15.75" thickBot="1" x14ac:dyDescent="0.3">
      <c r="A39" s="62" t="s">
        <v>166</v>
      </c>
      <c r="B39" s="63" t="s">
        <v>171</v>
      </c>
      <c r="C39" s="63" t="s">
        <v>172</v>
      </c>
      <c r="D39" s="64">
        <v>80</v>
      </c>
      <c r="E39" s="66" t="s">
        <v>173</v>
      </c>
      <c r="F39" s="66">
        <v>12</v>
      </c>
      <c r="G39" s="66"/>
      <c r="H39" s="66"/>
      <c r="I39" s="37"/>
    </row>
    <row r="40" spans="1:9" ht="15.75" thickBot="1" x14ac:dyDescent="0.3">
      <c r="A40" s="62" t="s">
        <v>166</v>
      </c>
      <c r="B40" s="63" t="s">
        <v>171</v>
      </c>
      <c r="C40" s="63" t="s">
        <v>174</v>
      </c>
      <c r="D40" s="64">
        <v>22</v>
      </c>
      <c r="E40" s="66" t="s">
        <v>173</v>
      </c>
      <c r="F40" s="66">
        <v>12</v>
      </c>
      <c r="G40" s="66"/>
      <c r="H40" s="66"/>
      <c r="I40" s="37"/>
    </row>
    <row r="41" spans="1:9" ht="15.75" thickBot="1" x14ac:dyDescent="0.3">
      <c r="A41" s="62" t="s">
        <v>166</v>
      </c>
      <c r="B41" s="63" t="s">
        <v>175</v>
      </c>
      <c r="C41" s="63" t="s">
        <v>176</v>
      </c>
      <c r="D41" s="64">
        <v>1044</v>
      </c>
      <c r="E41" s="66"/>
      <c r="F41" s="66"/>
      <c r="G41" s="61" t="s">
        <v>48</v>
      </c>
      <c r="H41" s="66">
        <v>1</v>
      </c>
      <c r="I41" s="37"/>
    </row>
    <row r="42" spans="1:9" ht="15.75" thickBot="1" x14ac:dyDescent="0.3">
      <c r="A42" s="62" t="s">
        <v>166</v>
      </c>
      <c r="B42" s="63" t="s">
        <v>88</v>
      </c>
      <c r="C42" s="63" t="s">
        <v>89</v>
      </c>
      <c r="D42" s="64">
        <v>1</v>
      </c>
      <c r="E42" s="85" t="s">
        <v>177</v>
      </c>
      <c r="F42" s="66">
        <v>12</v>
      </c>
      <c r="G42" s="42"/>
      <c r="H42" s="42"/>
      <c r="I42" s="37"/>
    </row>
    <row r="43" spans="1:9" ht="15.75" thickBot="1" x14ac:dyDescent="0.3">
      <c r="A43" s="62" t="s">
        <v>152</v>
      </c>
      <c r="B43" s="63" t="s">
        <v>104</v>
      </c>
      <c r="C43" s="63" t="s">
        <v>178</v>
      </c>
      <c r="D43" s="64">
        <v>1</v>
      </c>
      <c r="E43" s="61" t="s">
        <v>106</v>
      </c>
      <c r="F43" s="57">
        <v>10</v>
      </c>
      <c r="G43" s="61" t="s">
        <v>50</v>
      </c>
      <c r="H43" s="57">
        <v>2</v>
      </c>
      <c r="I43" s="37"/>
    </row>
    <row r="44" spans="1:9" ht="15.75" thickBot="1" x14ac:dyDescent="0.3">
      <c r="A44" s="62" t="s">
        <v>107</v>
      </c>
      <c r="B44" s="63" t="s">
        <v>108</v>
      </c>
      <c r="C44" s="63" t="s">
        <v>179</v>
      </c>
      <c r="D44" s="64">
        <v>2</v>
      </c>
      <c r="E44" s="65" t="s">
        <v>180</v>
      </c>
      <c r="F44" s="66"/>
      <c r="G44" s="66"/>
      <c r="H44" s="66"/>
      <c r="I44" s="37"/>
    </row>
    <row r="45" spans="1:9" ht="15.75" thickBot="1" x14ac:dyDescent="0.3">
      <c r="A45" s="62" t="s">
        <v>85</v>
      </c>
      <c r="B45" s="63" t="s">
        <v>181</v>
      </c>
      <c r="C45" s="63" t="s">
        <v>182</v>
      </c>
      <c r="D45" s="64">
        <v>123</v>
      </c>
      <c r="E45" s="66" t="s">
        <v>183</v>
      </c>
      <c r="F45" s="66">
        <v>12</v>
      </c>
      <c r="G45" s="66"/>
      <c r="H45" s="66"/>
      <c r="I45" s="37"/>
    </row>
    <row r="46" spans="1:9" ht="15.75" thickBot="1" x14ac:dyDescent="0.3">
      <c r="A46" s="62" t="s">
        <v>85</v>
      </c>
      <c r="B46" s="63" t="s">
        <v>184</v>
      </c>
      <c r="C46" s="63" t="s">
        <v>182</v>
      </c>
      <c r="D46" s="64">
        <v>2</v>
      </c>
      <c r="E46" s="66" t="s">
        <v>183</v>
      </c>
      <c r="F46" s="66">
        <v>12</v>
      </c>
      <c r="G46" s="66"/>
      <c r="H46" s="66"/>
      <c r="I46" s="37"/>
    </row>
    <row r="47" spans="1:9" ht="15.75" thickBot="1" x14ac:dyDescent="0.3">
      <c r="A47" s="62" t="s">
        <v>85</v>
      </c>
      <c r="B47" s="63" t="s">
        <v>185</v>
      </c>
      <c r="C47" s="63" t="s">
        <v>182</v>
      </c>
      <c r="D47" s="64">
        <v>2</v>
      </c>
      <c r="E47" s="66" t="s">
        <v>183</v>
      </c>
      <c r="F47" s="66">
        <v>12</v>
      </c>
      <c r="G47" s="66"/>
      <c r="H47" s="66"/>
      <c r="I47" s="37"/>
    </row>
    <row r="48" spans="1:9" ht="15.75" thickBot="1" x14ac:dyDescent="0.3">
      <c r="A48" s="62" t="s">
        <v>85</v>
      </c>
      <c r="B48" s="63" t="s">
        <v>186</v>
      </c>
      <c r="C48" s="63" t="s">
        <v>182</v>
      </c>
      <c r="D48" s="64">
        <v>65</v>
      </c>
      <c r="E48" s="66" t="s">
        <v>183</v>
      </c>
      <c r="F48" s="66">
        <v>12</v>
      </c>
      <c r="G48" s="66"/>
      <c r="H48" s="66"/>
      <c r="I48" s="37"/>
    </row>
    <row r="49" spans="1:8" ht="15.75" thickBot="1" x14ac:dyDescent="0.3">
      <c r="A49" s="39" t="s">
        <v>152</v>
      </c>
      <c r="B49" s="40" t="s">
        <v>187</v>
      </c>
      <c r="C49" s="40" t="s">
        <v>188</v>
      </c>
      <c r="D49" s="41">
        <v>1</v>
      </c>
      <c r="E49" s="36" t="s">
        <v>106</v>
      </c>
      <c r="F49" s="35">
        <v>10</v>
      </c>
      <c r="G49" s="36" t="s">
        <v>50</v>
      </c>
      <c r="H49" s="35">
        <v>2</v>
      </c>
    </row>
    <row r="50" spans="1:8" ht="15.75" thickBot="1" x14ac:dyDescent="0.3">
      <c r="A50" s="39" t="s">
        <v>107</v>
      </c>
      <c r="B50" s="40" t="s">
        <v>189</v>
      </c>
      <c r="C50" s="40" t="s">
        <v>190</v>
      </c>
      <c r="D50" s="41">
        <v>2</v>
      </c>
      <c r="E50" s="33" t="s">
        <v>180</v>
      </c>
      <c r="F50" s="42"/>
      <c r="G50" s="42"/>
      <c r="H50" s="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zoomScaleNormal="100" workbookViewId="0">
      <selection activeCell="B12" sqref="B12"/>
    </sheetView>
  </sheetViews>
  <sheetFormatPr defaultColWidth="8.7109375" defaultRowHeight="15" x14ac:dyDescent="0.25"/>
  <cols>
    <col min="1" max="1" width="52" style="1" customWidth="1"/>
    <col min="2" max="2" width="14" style="1" customWidth="1"/>
    <col min="3" max="3" width="40" customWidth="1"/>
  </cols>
  <sheetData>
    <row r="1" spans="1:3" ht="15" customHeight="1" x14ac:dyDescent="0.25">
      <c r="A1" s="2" t="s">
        <v>0</v>
      </c>
      <c r="B1" s="3"/>
    </row>
    <row r="2" spans="1:3" ht="15" customHeight="1" x14ac:dyDescent="0.25">
      <c r="A2" s="2" t="s">
        <v>1</v>
      </c>
      <c r="B2" s="4">
        <v>0.7</v>
      </c>
    </row>
    <row r="3" spans="1:3" ht="15" customHeight="1" x14ac:dyDescent="0.25">
      <c r="A3" s="2" t="s">
        <v>2</v>
      </c>
      <c r="B3" s="4">
        <v>0.1</v>
      </c>
    </row>
    <row r="4" spans="1:3" ht="15" customHeight="1" x14ac:dyDescent="0.25">
      <c r="A4" s="2" t="s">
        <v>3</v>
      </c>
      <c r="B4" s="4">
        <v>0.78</v>
      </c>
    </row>
    <row r="5" spans="1:3" ht="15" customHeight="1" x14ac:dyDescent="0.25">
      <c r="A5" s="2" t="s">
        <v>4</v>
      </c>
      <c r="B5" s="4">
        <v>0.3</v>
      </c>
    </row>
    <row r="6" spans="1:3" ht="15" customHeight="1" x14ac:dyDescent="0.25">
      <c r="B6" s="2"/>
    </row>
    <row r="7" spans="1:3" ht="15" customHeight="1" x14ac:dyDescent="0.25">
      <c r="A7" s="1" t="s">
        <v>5</v>
      </c>
      <c r="B7" s="5">
        <v>0.22</v>
      </c>
    </row>
    <row r="9" spans="1:3" ht="15" customHeight="1" x14ac:dyDescent="0.25">
      <c r="A9" s="1" t="s">
        <v>6</v>
      </c>
    </row>
    <row r="10" spans="1:3" ht="15" customHeight="1" x14ac:dyDescent="0.25">
      <c r="A10" s="2" t="s">
        <v>7</v>
      </c>
      <c r="B10" s="6">
        <v>180861.1</v>
      </c>
      <c r="C10" s="7" t="s">
        <v>8</v>
      </c>
    </row>
    <row r="11" spans="1:3" ht="15" customHeight="1" x14ac:dyDescent="0.25">
      <c r="A11" s="2" t="s">
        <v>9</v>
      </c>
      <c r="B11" s="6">
        <v>90515</v>
      </c>
      <c r="C11" s="3" t="s">
        <v>8</v>
      </c>
    </row>
    <row r="12" spans="1:3" ht="15" customHeight="1" x14ac:dyDescent="0.25">
      <c r="A12" s="2" t="s">
        <v>10</v>
      </c>
      <c r="B12" s="8">
        <f>ROUND(B10/B11,3)</f>
        <v>1.998</v>
      </c>
      <c r="C12" s="3"/>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1"/>
  <sheetViews>
    <sheetView tabSelected="1" zoomScaleNormal="100" workbookViewId="0">
      <pane xSplit="8" ySplit="2" topLeftCell="AL21" activePane="bottomRight" state="frozen"/>
      <selection pane="topRight" activeCell="I1" sqref="I1"/>
      <selection pane="bottomLeft" activeCell="A3" sqref="A3"/>
      <selection pane="bottomRight" activeCell="F30" sqref="F30"/>
    </sheetView>
  </sheetViews>
  <sheetFormatPr defaultColWidth="8.7109375" defaultRowHeight="15" outlineLevelCol="1" x14ac:dyDescent="0.25"/>
  <cols>
    <col min="1" max="1" width="9" style="1" customWidth="1"/>
    <col min="2" max="2" width="14.85546875" style="1" customWidth="1"/>
    <col min="3" max="3" width="8.5703125" style="1" customWidth="1"/>
    <col min="4" max="4" width="10" style="1" customWidth="1"/>
    <col min="5" max="5" width="22.42578125" style="1" customWidth="1"/>
    <col min="6" max="6" width="18.85546875" style="1" customWidth="1"/>
    <col min="7" max="7" width="65.5703125" style="1" customWidth="1"/>
    <col min="8" max="11" width="13.5703125" style="1" customWidth="1"/>
    <col min="12" max="12" width="13.5703125" customWidth="1" outlineLevel="1"/>
    <col min="13" max="15" width="13.5703125" style="1" customWidth="1" outlineLevel="1"/>
    <col min="16" max="16" width="13.5703125" customWidth="1" outlineLevel="1"/>
    <col min="17" max="17" width="13.5703125" style="1" customWidth="1" outlineLevel="1"/>
    <col min="18" max="18" width="13.5703125" customWidth="1" outlineLevel="1"/>
    <col min="19" max="19" width="11.7109375" customWidth="1" outlineLevel="1"/>
    <col min="20" max="20" width="14" style="1" customWidth="1" outlineLevel="1"/>
    <col min="21" max="22" width="11" style="1" customWidth="1" outlineLevel="1"/>
    <col min="23" max="23" width="13.42578125" style="1" customWidth="1" outlineLevel="1"/>
    <col min="24" max="24" width="12.28515625" style="1" customWidth="1" outlineLevel="1"/>
    <col min="25" max="25" width="12.85546875" style="1" customWidth="1" outlineLevel="1"/>
    <col min="26" max="26" width="13.42578125" style="1" customWidth="1" outlineLevel="1"/>
    <col min="27" max="27" width="11.5703125" style="1" customWidth="1" outlineLevel="1"/>
    <col min="28" max="28" width="15.42578125" style="1" customWidth="1" outlineLevel="1"/>
    <col min="29" max="29" width="12.7109375" style="1" customWidth="1" outlineLevel="1"/>
    <col min="30" max="36" width="12.42578125" style="1" customWidth="1" outlineLevel="1"/>
    <col min="37" max="37" width="12" style="1" customWidth="1" outlineLevel="1"/>
    <col min="38" max="38" width="11" style="1" customWidth="1" outlineLevel="1"/>
    <col min="39" max="39" width="13.5703125" style="1" customWidth="1"/>
    <col min="40" max="40" width="12" style="1" customWidth="1"/>
    <col min="41" max="41" width="16.5703125" style="1" customWidth="1"/>
    <col min="42" max="42" width="14" customWidth="1"/>
    <col min="43" max="43" width="14.85546875" customWidth="1"/>
  </cols>
  <sheetData>
    <row r="1" spans="1:45" s="9" customFormat="1" ht="25.5" customHeight="1" x14ac:dyDescent="0.25">
      <c r="B1" s="11" t="s">
        <v>289</v>
      </c>
      <c r="E1" s="94">
        <f>AO51</f>
        <v>1707086.2779706181</v>
      </c>
      <c r="H1" s="10"/>
      <c r="I1" s="11"/>
      <c r="J1" s="11"/>
      <c r="K1" s="11"/>
      <c r="L1" s="11"/>
      <c r="M1" s="11"/>
      <c r="N1" s="11"/>
      <c r="O1" s="11" t="s">
        <v>80</v>
      </c>
      <c r="P1" s="11"/>
      <c r="Q1" s="11"/>
      <c r="R1" s="11"/>
      <c r="S1" s="11"/>
      <c r="T1" s="11"/>
      <c r="U1" s="11"/>
      <c r="V1" s="11"/>
      <c r="W1" s="11"/>
      <c r="X1" s="11"/>
      <c r="Y1" s="11"/>
      <c r="Z1" s="11"/>
      <c r="AA1" s="11"/>
      <c r="AB1" s="11"/>
      <c r="AC1" s="11" t="s">
        <v>11</v>
      </c>
    </row>
    <row r="2" spans="1:45" ht="114.75" customHeight="1" x14ac:dyDescent="0.25">
      <c r="A2" s="12" t="s">
        <v>12</v>
      </c>
      <c r="B2" s="12" t="s">
        <v>70</v>
      </c>
      <c r="C2" s="12" t="s">
        <v>71</v>
      </c>
      <c r="D2" s="12" t="s">
        <v>72</v>
      </c>
      <c r="E2" s="12" t="s">
        <v>77</v>
      </c>
      <c r="F2" s="12" t="s">
        <v>76</v>
      </c>
      <c r="G2" s="12" t="s">
        <v>75</v>
      </c>
      <c r="H2" s="12" t="s">
        <v>15</v>
      </c>
      <c r="I2" s="12" t="s">
        <v>78</v>
      </c>
      <c r="J2" s="12" t="s">
        <v>16</v>
      </c>
      <c r="K2" s="12" t="s">
        <v>13</v>
      </c>
      <c r="L2" s="12" t="s">
        <v>14</v>
      </c>
      <c r="M2" s="12" t="s">
        <v>17</v>
      </c>
      <c r="N2" s="12" t="s">
        <v>18</v>
      </c>
      <c r="O2" s="12" t="s">
        <v>19</v>
      </c>
      <c r="P2" s="12" t="s">
        <v>20</v>
      </c>
      <c r="Q2" s="12" t="s">
        <v>21</v>
      </c>
      <c r="R2" s="12" t="s">
        <v>22</v>
      </c>
      <c r="S2" s="25" t="s">
        <v>90</v>
      </c>
      <c r="T2" s="26" t="s">
        <v>23</v>
      </c>
      <c r="U2" s="26" t="s">
        <v>24</v>
      </c>
      <c r="V2" s="26" t="s">
        <v>25</v>
      </c>
      <c r="W2" s="12" t="s">
        <v>26</v>
      </c>
      <c r="X2" s="12" t="s">
        <v>27</v>
      </c>
      <c r="Y2" s="12" t="s">
        <v>28</v>
      </c>
      <c r="Z2" s="12" t="s">
        <v>29</v>
      </c>
      <c r="AA2" s="12" t="s">
        <v>5</v>
      </c>
      <c r="AB2" s="12" t="s">
        <v>30</v>
      </c>
      <c r="AC2" s="21" t="s">
        <v>19</v>
      </c>
      <c r="AD2" s="21" t="s">
        <v>20</v>
      </c>
      <c r="AE2" s="21" t="s">
        <v>21</v>
      </c>
      <c r="AF2" s="21" t="s">
        <v>22</v>
      </c>
      <c r="AG2" s="26" t="s">
        <v>23</v>
      </c>
      <c r="AH2" s="21" t="s">
        <v>24</v>
      </c>
      <c r="AI2" s="21" t="s">
        <v>25</v>
      </c>
      <c r="AJ2" s="21" t="s">
        <v>26</v>
      </c>
      <c r="AK2" s="21" t="s">
        <v>27</v>
      </c>
      <c r="AL2" s="21" t="s">
        <v>28</v>
      </c>
      <c r="AM2" s="21" t="s">
        <v>29</v>
      </c>
      <c r="AN2" s="21" t="s">
        <v>5</v>
      </c>
      <c r="AO2" s="21" t="s">
        <v>30</v>
      </c>
      <c r="AP2" s="22" t="s">
        <v>31</v>
      </c>
      <c r="AQ2" s="28" t="s">
        <v>94</v>
      </c>
      <c r="AS2" t="s">
        <v>277</v>
      </c>
    </row>
    <row r="3" spans="1:45" ht="15" customHeight="1" x14ac:dyDescent="0.25">
      <c r="A3" s="46">
        <v>1</v>
      </c>
      <c r="B3" s="46" t="s">
        <v>83</v>
      </c>
      <c r="C3" s="46" t="s">
        <v>84</v>
      </c>
      <c r="D3" s="46" t="s">
        <v>85</v>
      </c>
      <c r="E3" s="46" t="s">
        <v>34</v>
      </c>
      <c r="F3" s="47" t="s">
        <v>35</v>
      </c>
      <c r="G3" s="46" t="s">
        <v>36</v>
      </c>
      <c r="H3" s="48" t="s">
        <v>37</v>
      </c>
      <c r="I3" s="48" t="s">
        <v>82</v>
      </c>
      <c r="J3" s="49">
        <v>8</v>
      </c>
      <c r="K3" s="82">
        <v>7</v>
      </c>
      <c r="L3" s="49">
        <f t="shared" ref="L3" si="0">K3*J3</f>
        <v>56</v>
      </c>
      <c r="M3" s="49">
        <v>1</v>
      </c>
      <c r="N3">
        <f t="shared" ref="N3" si="1">L3/M3</f>
        <v>56</v>
      </c>
      <c r="O3" s="48">
        <v>51.86</v>
      </c>
      <c r="P3" s="48">
        <v>0</v>
      </c>
      <c r="Q3" s="48">
        <v>0</v>
      </c>
      <c r="R3" s="48">
        <v>0.15</v>
      </c>
      <c r="S3" s="48">
        <v>1</v>
      </c>
      <c r="T3" s="48">
        <f t="shared" ref="T3" si="2">O3*N3*S3</f>
        <v>2904.16</v>
      </c>
      <c r="U3" s="50">
        <f t="shared" ref="U3" si="3">P3*N3*S3</f>
        <v>0</v>
      </c>
      <c r="V3" s="50">
        <f t="shared" ref="V3" si="4">Q3*N3*S3</f>
        <v>0</v>
      </c>
      <c r="W3" s="48">
        <f t="shared" ref="W3" si="5">R3*N3</f>
        <v>8.4</v>
      </c>
      <c r="X3" s="48">
        <f>($T3*'Данные для расчета'!$B$2+'Данные для расчета'!$B$4*$V3)</f>
        <v>2032.9119999999998</v>
      </c>
      <c r="Y3" s="48">
        <f>($T3*'Данные для расчета'!$B$3+'Данные для расчета'!$B$5*$V3)</f>
        <v>290.416</v>
      </c>
      <c r="Z3" s="48">
        <f t="shared" ref="Z3" si="6">T3+U3+W3+X3+Y3</f>
        <v>5235.8879999999999</v>
      </c>
      <c r="AA3" s="48">
        <f>ROUND(Z3*'Данные для расчета'!$B$7,2)</f>
        <v>1151.9000000000001</v>
      </c>
      <c r="AB3" s="48">
        <f t="shared" ref="AB3" si="7">Z3+AA3</f>
        <v>6387.7880000000005</v>
      </c>
      <c r="AC3" s="48">
        <f>O3/'[1]Данные для расчета'!$B$12</f>
        <v>25.955955955955957</v>
      </c>
      <c r="AD3" s="48">
        <f t="shared" ref="AD3" si="8">P3-Q3+AE3</f>
        <v>0</v>
      </c>
      <c r="AE3" s="48">
        <f>Q3/'[1]Данные для расчета'!$B$12</f>
        <v>0</v>
      </c>
      <c r="AF3" s="48">
        <f t="shared" ref="AF3" si="9">R3</f>
        <v>0.15</v>
      </c>
      <c r="AG3" s="48">
        <f t="shared" ref="AG3" si="10">AC3*$N3*$S3</f>
        <v>1453.5335335335335</v>
      </c>
      <c r="AH3" s="48">
        <f t="shared" ref="AH3:AJ3" si="11">AD3*$N3*$S3</f>
        <v>0</v>
      </c>
      <c r="AI3" s="48">
        <f t="shared" si="11"/>
        <v>0</v>
      </c>
      <c r="AJ3" s="48">
        <f t="shared" si="11"/>
        <v>8.4</v>
      </c>
      <c r="AK3" s="48">
        <f>($AG3*'Данные для расчета'!$B$2+'Данные для расчета'!$B$4*$AI3)</f>
        <v>1017.4734734734734</v>
      </c>
      <c r="AL3" s="48">
        <f>($AG3*'Данные для расчета'!$B$3+'Данные для расчета'!$B$5*$AI3)</f>
        <v>145.35335335335336</v>
      </c>
      <c r="AM3" s="48">
        <f t="shared" ref="AM3" si="12">AG3+AH3+AJ3+AK3+AL3</f>
        <v>2624.7603603603602</v>
      </c>
      <c r="AN3" s="48">
        <f>ROUND(AM3*'Данные для расчета'!$B$7,2)</f>
        <v>577.45000000000005</v>
      </c>
      <c r="AO3" s="48">
        <f t="shared" ref="AO3" si="13">AM3+AN3</f>
        <v>3202.21036036036</v>
      </c>
      <c r="AP3">
        <v>0.08</v>
      </c>
      <c r="AQ3">
        <f t="shared" ref="AQ3:AQ16" si="14">L3*AP3</f>
        <v>4.4800000000000004</v>
      </c>
    </row>
    <row r="4" spans="1:45" ht="15" customHeight="1" x14ac:dyDescent="0.25">
      <c r="A4" s="46">
        <v>1</v>
      </c>
      <c r="B4" s="46" t="s">
        <v>83</v>
      </c>
      <c r="C4" s="46" t="s">
        <v>84</v>
      </c>
      <c r="D4" s="46" t="s">
        <v>85</v>
      </c>
      <c r="E4" s="46" t="s">
        <v>38</v>
      </c>
      <c r="F4" s="47" t="s">
        <v>39</v>
      </c>
      <c r="G4" s="46" t="s">
        <v>40</v>
      </c>
      <c r="H4" s="48" t="s">
        <v>41</v>
      </c>
      <c r="I4" s="48" t="s">
        <v>82</v>
      </c>
      <c r="J4" s="49">
        <v>4</v>
      </c>
      <c r="K4" s="49">
        <v>7</v>
      </c>
      <c r="L4" s="49">
        <f>K4*J4</f>
        <v>28</v>
      </c>
      <c r="M4" s="49">
        <v>1</v>
      </c>
      <c r="N4">
        <f>L4/M4</f>
        <v>28</v>
      </c>
      <c r="O4" s="48">
        <v>402.31</v>
      </c>
      <c r="P4" s="48">
        <v>0</v>
      </c>
      <c r="Q4" s="48">
        <v>0</v>
      </c>
      <c r="R4" s="48">
        <v>2.06</v>
      </c>
      <c r="S4" s="48">
        <v>1</v>
      </c>
      <c r="T4" s="48">
        <f>O4*N4*S4</f>
        <v>11264.68</v>
      </c>
      <c r="U4" s="50">
        <f>P4*N4*S4</f>
        <v>0</v>
      </c>
      <c r="V4" s="50">
        <f>Q4*N4*S4</f>
        <v>0</v>
      </c>
      <c r="W4" s="48">
        <f>R4*N4</f>
        <v>57.68</v>
      </c>
      <c r="X4" s="48">
        <f>($T4*'Данные для расчета'!$B$2+'Данные для расчета'!$B$4*$V4)</f>
        <v>7885.2759999999998</v>
      </c>
      <c r="Y4" s="48">
        <f>($T4*'Данные для расчета'!$B$3+'Данные для расчета'!$B$5*$V4)</f>
        <v>1126.4680000000001</v>
      </c>
      <c r="Z4" s="48">
        <f>T4+U4+W4+X4+Y4</f>
        <v>20334.103999999999</v>
      </c>
      <c r="AA4" s="48">
        <f>ROUND(Z4*'Данные для расчета'!$B$7,2)</f>
        <v>4473.5</v>
      </c>
      <c r="AB4" s="48">
        <f>Z4+AA4</f>
        <v>24807.603999999999</v>
      </c>
      <c r="AC4" s="48">
        <f>O4/'[1]Данные для расчета'!$B$12</f>
        <v>201.35635635635637</v>
      </c>
      <c r="AD4" s="48">
        <f>P4-Q4+AE4</f>
        <v>0</v>
      </c>
      <c r="AE4" s="48">
        <f>Q4/'[1]Данные для расчета'!$B$12</f>
        <v>0</v>
      </c>
      <c r="AF4" s="48">
        <f>R4</f>
        <v>2.06</v>
      </c>
      <c r="AG4" s="48">
        <f>AC4*$N4*$S4</f>
        <v>5637.9779779779783</v>
      </c>
      <c r="AH4" s="48">
        <f>AD4*$N4*$S4</f>
        <v>0</v>
      </c>
      <c r="AI4" s="48">
        <f>AE4*$N4*$S4</f>
        <v>0</v>
      </c>
      <c r="AJ4" s="48">
        <f>AF4*$N4*$S4</f>
        <v>57.68</v>
      </c>
      <c r="AK4" s="48">
        <f>($AG4*'Данные для расчета'!$B$2+'Данные для расчета'!$B$4*$AI4)</f>
        <v>3946.5845845845847</v>
      </c>
      <c r="AL4" s="48">
        <f>($AG4*'Данные для расчета'!$B$3+'Данные для расчета'!$B$5*$AI4)</f>
        <v>563.7977977977979</v>
      </c>
      <c r="AM4" s="48">
        <f t="shared" ref="AM4:AM38" si="15">AG4+AH4+AJ4+AK4+AL4</f>
        <v>10206.040360360361</v>
      </c>
      <c r="AN4" s="48">
        <f>ROUND(AM4*'Данные для расчета'!$B$7,2)</f>
        <v>2245.33</v>
      </c>
      <c r="AO4" s="48">
        <f t="shared" ref="AO4:AO38" si="16">AM4+AN4</f>
        <v>12451.370360360361</v>
      </c>
      <c r="AP4">
        <v>0.54</v>
      </c>
      <c r="AQ4">
        <f t="shared" si="14"/>
        <v>15.120000000000001</v>
      </c>
    </row>
    <row r="5" spans="1:45" ht="15" customHeight="1" x14ac:dyDescent="0.25">
      <c r="A5" s="46">
        <v>2</v>
      </c>
      <c r="B5" s="46" t="s">
        <v>86</v>
      </c>
      <c r="C5" s="46" t="s">
        <v>87</v>
      </c>
      <c r="D5" s="46" t="s">
        <v>85</v>
      </c>
      <c r="E5" s="46" t="s">
        <v>42</v>
      </c>
      <c r="F5" s="47" t="s">
        <v>43</v>
      </c>
      <c r="G5" s="46" t="s">
        <v>44</v>
      </c>
      <c r="H5" s="48" t="s">
        <v>37</v>
      </c>
      <c r="I5" s="48" t="s">
        <v>82</v>
      </c>
      <c r="J5" s="49">
        <v>8</v>
      </c>
      <c r="K5" s="49">
        <v>1</v>
      </c>
      <c r="L5" s="49">
        <f t="shared" ref="L5:L14" si="17">K5*J5</f>
        <v>8</v>
      </c>
      <c r="M5" s="49">
        <v>10</v>
      </c>
      <c r="N5">
        <f t="shared" ref="N5:N8" si="18">L5/M5</f>
        <v>0.8</v>
      </c>
      <c r="O5" s="48">
        <v>1762.51</v>
      </c>
      <c r="P5" s="48">
        <v>0</v>
      </c>
      <c r="Q5" s="48">
        <v>0</v>
      </c>
      <c r="R5" s="48">
        <v>4.1900000000000004</v>
      </c>
      <c r="S5" s="48">
        <v>1</v>
      </c>
      <c r="T5" s="48">
        <f t="shared" ref="T5:T15" si="19">O5*N5*S5</f>
        <v>1410.008</v>
      </c>
      <c r="U5" s="50">
        <f t="shared" ref="U5:U15" si="20">P5*N5*S5</f>
        <v>0</v>
      </c>
      <c r="V5" s="50">
        <f t="shared" ref="V5:V15" si="21">Q5*N5*S5</f>
        <v>0</v>
      </c>
      <c r="W5" s="48">
        <f t="shared" ref="W5:W15" si="22">R5*N5</f>
        <v>3.3520000000000003</v>
      </c>
      <c r="X5" s="48">
        <f>($T5*'Данные для расчета'!$B$2+'Данные для расчета'!$B$4*$V5)</f>
        <v>987.00559999999996</v>
      </c>
      <c r="Y5" s="48">
        <f>($T5*'Данные для расчета'!$B$3+'Данные для расчета'!$B$5*$V5)</f>
        <v>141.0008</v>
      </c>
      <c r="Z5" s="48">
        <f t="shared" ref="Z5:Z15" si="23">T5+U5+W5+X5+Y5</f>
        <v>2541.3663999999999</v>
      </c>
      <c r="AA5" s="48">
        <f>ROUND(Z5*'Данные для расчета'!$B$7,2)</f>
        <v>559.1</v>
      </c>
      <c r="AB5" s="48">
        <f t="shared" ref="AB5:AB15" si="24">Z5+AA5</f>
        <v>3100.4663999999998</v>
      </c>
      <c r="AC5" s="48">
        <f>O5/'[1]Данные для расчета'!$B$12</f>
        <v>882.13713713713719</v>
      </c>
      <c r="AD5" s="48">
        <f t="shared" ref="AD5:AD15" si="25">P5-Q5+AE5</f>
        <v>0</v>
      </c>
      <c r="AE5" s="48">
        <f>Q5/'[1]Данные для расчета'!$B$12</f>
        <v>0</v>
      </c>
      <c r="AF5" s="48">
        <f t="shared" ref="AF5:AF15" si="26">R5</f>
        <v>4.1900000000000004</v>
      </c>
      <c r="AG5" s="48">
        <f t="shared" ref="AG5:AJ15" si="27">AC5*$N5*$S5</f>
        <v>705.70970970970984</v>
      </c>
      <c r="AH5" s="48">
        <f t="shared" si="27"/>
        <v>0</v>
      </c>
      <c r="AI5" s="48">
        <f t="shared" si="27"/>
        <v>0</v>
      </c>
      <c r="AJ5" s="48">
        <f t="shared" si="27"/>
        <v>3.3520000000000003</v>
      </c>
      <c r="AK5" s="48">
        <f>($AG5*'Данные для расчета'!$B$2+'Данные для расчета'!$B$4*$AI5)</f>
        <v>493.99679679679684</v>
      </c>
      <c r="AL5" s="48">
        <f>($AG5*'Данные для расчета'!$B$3+'Данные для расчета'!$B$5*$AI5)</f>
        <v>70.57097097097099</v>
      </c>
      <c r="AM5" s="48">
        <f t="shared" si="15"/>
        <v>1273.6294774774776</v>
      </c>
      <c r="AN5" s="48">
        <f>ROUND(AM5*'Данные для расчета'!$B$7,2)</f>
        <v>280.2</v>
      </c>
      <c r="AO5" s="48">
        <f t="shared" si="16"/>
        <v>1553.8294774774777</v>
      </c>
      <c r="AP5">
        <v>2.5299999999999998</v>
      </c>
      <c r="AQ5">
        <f t="shared" si="14"/>
        <v>20.239999999999998</v>
      </c>
    </row>
    <row r="6" spans="1:45" ht="15" customHeight="1" x14ac:dyDescent="0.25">
      <c r="A6" s="46">
        <v>2</v>
      </c>
      <c r="B6" s="46" t="s">
        <v>86</v>
      </c>
      <c r="C6" s="46" t="s">
        <v>87</v>
      </c>
      <c r="D6" s="46" t="s">
        <v>85</v>
      </c>
      <c r="E6" s="46" t="s">
        <v>45</v>
      </c>
      <c r="F6" s="47" t="s">
        <v>46</v>
      </c>
      <c r="G6" s="46" t="s">
        <v>47</v>
      </c>
      <c r="H6" s="48" t="s">
        <v>41</v>
      </c>
      <c r="I6" s="48" t="s">
        <v>82</v>
      </c>
      <c r="J6" s="49">
        <v>4</v>
      </c>
      <c r="K6" s="49">
        <v>1</v>
      </c>
      <c r="L6" s="49">
        <f t="shared" si="17"/>
        <v>4</v>
      </c>
      <c r="M6" s="49">
        <v>10</v>
      </c>
      <c r="N6">
        <f t="shared" si="18"/>
        <v>0.4</v>
      </c>
      <c r="O6" s="48">
        <v>4458.5200000000004</v>
      </c>
      <c r="P6" s="48">
        <v>0</v>
      </c>
      <c r="Q6" s="48">
        <v>0</v>
      </c>
      <c r="R6" s="48">
        <v>41.89</v>
      </c>
      <c r="S6" s="48">
        <v>1</v>
      </c>
      <c r="T6" s="48">
        <f t="shared" si="19"/>
        <v>1783.4080000000004</v>
      </c>
      <c r="U6" s="50">
        <f t="shared" si="20"/>
        <v>0</v>
      </c>
      <c r="V6" s="50">
        <f t="shared" si="21"/>
        <v>0</v>
      </c>
      <c r="W6" s="48">
        <f t="shared" si="22"/>
        <v>16.756</v>
      </c>
      <c r="X6" s="48">
        <f>($T6*'Данные для расчета'!$B$2+'Данные для расчета'!$B$4*$V6)</f>
        <v>1248.3856000000001</v>
      </c>
      <c r="Y6" s="48">
        <f>($T6*'Данные для расчета'!$B$3+'Данные для расчета'!$B$5*$V6)</f>
        <v>178.34080000000006</v>
      </c>
      <c r="Z6" s="48">
        <f t="shared" si="23"/>
        <v>3226.8904000000002</v>
      </c>
      <c r="AA6" s="48">
        <f>ROUND(Z6*'Данные для расчета'!$B$7,2)</f>
        <v>709.92</v>
      </c>
      <c r="AB6" s="48">
        <f t="shared" si="24"/>
        <v>3936.8104000000003</v>
      </c>
      <c r="AC6" s="48">
        <f>O6/'[1]Данные для расчета'!$B$12</f>
        <v>2231.4914914914916</v>
      </c>
      <c r="AD6" s="48">
        <f t="shared" si="25"/>
        <v>0</v>
      </c>
      <c r="AE6" s="48">
        <f>Q6/'[1]Данные для расчета'!$B$12</f>
        <v>0</v>
      </c>
      <c r="AF6" s="48">
        <f t="shared" si="26"/>
        <v>41.89</v>
      </c>
      <c r="AG6" s="48">
        <f t="shared" si="27"/>
        <v>892.59659659659667</v>
      </c>
      <c r="AH6" s="48">
        <f t="shared" si="27"/>
        <v>0</v>
      </c>
      <c r="AI6" s="48">
        <f t="shared" si="27"/>
        <v>0</v>
      </c>
      <c r="AJ6" s="48">
        <f t="shared" si="27"/>
        <v>16.756</v>
      </c>
      <c r="AK6" s="48">
        <f>($AG6*'Данные для расчета'!$B$2+'Данные для расчета'!$B$4*$AI6)</f>
        <v>624.81761761761766</v>
      </c>
      <c r="AL6" s="48">
        <f>($AG6*'Данные для расчета'!$B$3+'Данные для расчета'!$B$5*$AI6)</f>
        <v>89.259659659659675</v>
      </c>
      <c r="AM6" s="48">
        <f t="shared" si="15"/>
        <v>1623.4298738738742</v>
      </c>
      <c r="AN6" s="48">
        <f>ROUND(AM6*'Данные для расчета'!$B$7,2)</f>
        <v>357.15</v>
      </c>
      <c r="AO6" s="48">
        <f t="shared" si="16"/>
        <v>1980.579873873874</v>
      </c>
      <c r="AP6">
        <v>6.4</v>
      </c>
      <c r="AQ6">
        <f t="shared" si="14"/>
        <v>25.6</v>
      </c>
    </row>
    <row r="7" spans="1:45" ht="15" customHeight="1" x14ac:dyDescent="0.25">
      <c r="A7" s="46">
        <v>3</v>
      </c>
      <c r="B7" s="46" t="s">
        <v>102</v>
      </c>
      <c r="C7" s="46" t="s">
        <v>191</v>
      </c>
      <c r="D7" s="46" t="s">
        <v>85</v>
      </c>
      <c r="E7" s="46" t="s">
        <v>42</v>
      </c>
      <c r="F7" s="47" t="s">
        <v>43</v>
      </c>
      <c r="G7" s="46" t="s">
        <v>44</v>
      </c>
      <c r="H7" s="48" t="s">
        <v>37</v>
      </c>
      <c r="I7" s="48" t="s">
        <v>82</v>
      </c>
      <c r="J7" s="49">
        <v>8</v>
      </c>
      <c r="K7" s="49">
        <v>1</v>
      </c>
      <c r="L7" s="49">
        <f t="shared" si="17"/>
        <v>8</v>
      </c>
      <c r="M7" s="49">
        <v>10</v>
      </c>
      <c r="N7">
        <f t="shared" si="18"/>
        <v>0.8</v>
      </c>
      <c r="O7" s="48">
        <v>1762.51</v>
      </c>
      <c r="P7" s="48">
        <v>0</v>
      </c>
      <c r="Q7" s="48">
        <v>0</v>
      </c>
      <c r="R7" s="48">
        <v>4.1900000000000004</v>
      </c>
      <c r="S7" s="48">
        <v>1</v>
      </c>
      <c r="T7" s="48">
        <f t="shared" si="19"/>
        <v>1410.008</v>
      </c>
      <c r="U7" s="50">
        <f t="shared" si="20"/>
        <v>0</v>
      </c>
      <c r="V7" s="50">
        <f t="shared" si="21"/>
        <v>0</v>
      </c>
      <c r="W7" s="48">
        <f t="shared" si="22"/>
        <v>3.3520000000000003</v>
      </c>
      <c r="X7" s="48">
        <f>($T7*'Данные для расчета'!$B$2+'Данные для расчета'!$B$4*$V7)</f>
        <v>987.00559999999996</v>
      </c>
      <c r="Y7" s="48">
        <f>($T7*'Данные для расчета'!$B$3+'Данные для расчета'!$B$5*$V7)</f>
        <v>141.0008</v>
      </c>
      <c r="Z7" s="48">
        <f t="shared" si="23"/>
        <v>2541.3663999999999</v>
      </c>
      <c r="AA7" s="48">
        <f>ROUND(Z7*'Данные для расчета'!$B$7,2)</f>
        <v>559.1</v>
      </c>
      <c r="AB7" s="48">
        <f t="shared" si="24"/>
        <v>3100.4663999999998</v>
      </c>
      <c r="AC7" s="48">
        <f>O7/'[1]Данные для расчета'!$B$12</f>
        <v>882.13713713713719</v>
      </c>
      <c r="AD7" s="48">
        <f t="shared" si="25"/>
        <v>0</v>
      </c>
      <c r="AE7" s="48">
        <f>Q7/'[1]Данные для расчета'!$B$12</f>
        <v>0</v>
      </c>
      <c r="AF7" s="48">
        <f t="shared" si="26"/>
        <v>4.1900000000000004</v>
      </c>
      <c r="AG7" s="48">
        <f t="shared" si="27"/>
        <v>705.70970970970984</v>
      </c>
      <c r="AH7" s="48">
        <f t="shared" si="27"/>
        <v>0</v>
      </c>
      <c r="AI7" s="48">
        <f t="shared" si="27"/>
        <v>0</v>
      </c>
      <c r="AJ7" s="48">
        <f t="shared" si="27"/>
        <v>3.3520000000000003</v>
      </c>
      <c r="AK7" s="48">
        <f>($AG7*'Данные для расчета'!$B$2+'Данные для расчета'!$B$4*$AI7)</f>
        <v>493.99679679679684</v>
      </c>
      <c r="AL7" s="48">
        <f>($AG7*'Данные для расчета'!$B$3+'Данные для расчета'!$B$5*$AI7)</f>
        <v>70.57097097097099</v>
      </c>
      <c r="AM7" s="48">
        <f t="shared" si="15"/>
        <v>1273.6294774774776</v>
      </c>
      <c r="AN7" s="48">
        <f>ROUND(AM7*'Данные для расчета'!$B$7,2)</f>
        <v>280.2</v>
      </c>
      <c r="AO7" s="48">
        <f t="shared" si="16"/>
        <v>1553.8294774774777</v>
      </c>
      <c r="AP7">
        <v>2.5299999999999998</v>
      </c>
      <c r="AQ7">
        <f t="shared" si="14"/>
        <v>20.239999999999998</v>
      </c>
    </row>
    <row r="8" spans="1:45" ht="15" customHeight="1" x14ac:dyDescent="0.25">
      <c r="A8" s="46">
        <v>3</v>
      </c>
      <c r="B8" s="46" t="s">
        <v>102</v>
      </c>
      <c r="C8" s="46" t="s">
        <v>191</v>
      </c>
      <c r="D8" s="46" t="s">
        <v>85</v>
      </c>
      <c r="E8" s="46" t="s">
        <v>45</v>
      </c>
      <c r="F8" s="47" t="s">
        <v>46</v>
      </c>
      <c r="G8" s="51" t="s">
        <v>47</v>
      </c>
      <c r="H8" s="48" t="s">
        <v>41</v>
      </c>
      <c r="I8" s="48" t="s">
        <v>82</v>
      </c>
      <c r="J8" s="49">
        <v>4</v>
      </c>
      <c r="K8" s="49">
        <v>1</v>
      </c>
      <c r="L8" s="49">
        <f t="shared" si="17"/>
        <v>4</v>
      </c>
      <c r="M8" s="49">
        <v>10</v>
      </c>
      <c r="N8">
        <f t="shared" si="18"/>
        <v>0.4</v>
      </c>
      <c r="O8" s="48">
        <v>4458.5200000000004</v>
      </c>
      <c r="P8" s="48">
        <v>0</v>
      </c>
      <c r="Q8" s="48">
        <v>0</v>
      </c>
      <c r="R8" s="48">
        <v>41.89</v>
      </c>
      <c r="S8" s="48">
        <v>1</v>
      </c>
      <c r="T8" s="48">
        <f t="shared" si="19"/>
        <v>1783.4080000000004</v>
      </c>
      <c r="U8" s="50">
        <f t="shared" si="20"/>
        <v>0</v>
      </c>
      <c r="V8" s="50">
        <f t="shared" si="21"/>
        <v>0</v>
      </c>
      <c r="W8" s="48">
        <f t="shared" si="22"/>
        <v>16.756</v>
      </c>
      <c r="X8" s="48">
        <f>($T8*'Данные для расчета'!$B$2+'Данные для расчета'!$B$4*$V8)</f>
        <v>1248.3856000000001</v>
      </c>
      <c r="Y8" s="48">
        <f>($T8*'Данные для расчета'!$B$3+'Данные для расчета'!$B$5*$V8)</f>
        <v>178.34080000000006</v>
      </c>
      <c r="Z8" s="48">
        <f t="shared" si="23"/>
        <v>3226.8904000000002</v>
      </c>
      <c r="AA8" s="48">
        <f>ROUND(Z8*'Данные для расчета'!$B$7,2)</f>
        <v>709.92</v>
      </c>
      <c r="AB8" s="48">
        <f t="shared" si="24"/>
        <v>3936.8104000000003</v>
      </c>
      <c r="AC8" s="48">
        <f>O8/'[1]Данные для расчета'!$B$12</f>
        <v>2231.4914914914916</v>
      </c>
      <c r="AD8" s="48">
        <f t="shared" si="25"/>
        <v>0</v>
      </c>
      <c r="AE8" s="48">
        <f>Q8/'[1]Данные для расчета'!$B$12</f>
        <v>0</v>
      </c>
      <c r="AF8" s="48">
        <f t="shared" si="26"/>
        <v>41.89</v>
      </c>
      <c r="AG8" s="48">
        <f t="shared" si="27"/>
        <v>892.59659659659667</v>
      </c>
      <c r="AH8" s="48">
        <f t="shared" si="27"/>
        <v>0</v>
      </c>
      <c r="AI8" s="48">
        <f t="shared" si="27"/>
        <v>0</v>
      </c>
      <c r="AJ8" s="48">
        <f t="shared" si="27"/>
        <v>16.756</v>
      </c>
      <c r="AK8" s="48">
        <f>($AG8*'Данные для расчета'!$B$2+'Данные для расчета'!$B$4*$AI8)</f>
        <v>624.81761761761766</v>
      </c>
      <c r="AL8" s="48">
        <f>($AG8*'Данные для расчета'!$B$3+'Данные для расчета'!$B$5*$AI8)</f>
        <v>89.259659659659675</v>
      </c>
      <c r="AM8" s="48">
        <f t="shared" si="15"/>
        <v>1623.4298738738742</v>
      </c>
      <c r="AN8" s="48">
        <f>ROUND(AM8*'Данные для расчета'!$B$7,2)</f>
        <v>357.15</v>
      </c>
      <c r="AO8" s="48">
        <f t="shared" si="16"/>
        <v>1980.579873873874</v>
      </c>
      <c r="AP8">
        <v>6.4</v>
      </c>
      <c r="AQ8">
        <f t="shared" si="14"/>
        <v>25.6</v>
      </c>
    </row>
    <row r="9" spans="1:45" ht="14.25" customHeight="1" x14ac:dyDescent="0.25">
      <c r="A9" s="46">
        <v>4</v>
      </c>
      <c r="B9" s="49" t="s">
        <v>104</v>
      </c>
      <c r="C9" s="49" t="s">
        <v>192</v>
      </c>
      <c r="D9" s="46" t="s">
        <v>193</v>
      </c>
      <c r="E9" s="46" t="s">
        <v>194</v>
      </c>
      <c r="F9" s="67" t="s">
        <v>106</v>
      </c>
      <c r="G9" s="46" t="s">
        <v>195</v>
      </c>
      <c r="H9" s="48" t="s">
        <v>37</v>
      </c>
      <c r="I9" s="48" t="s">
        <v>196</v>
      </c>
      <c r="J9" s="49">
        <v>10</v>
      </c>
      <c r="K9" s="49">
        <v>2</v>
      </c>
      <c r="L9" s="49">
        <f t="shared" si="17"/>
        <v>20</v>
      </c>
      <c r="M9" s="49">
        <v>1</v>
      </c>
      <c r="N9">
        <f>L9/M9</f>
        <v>20</v>
      </c>
      <c r="O9" s="48">
        <v>62.7</v>
      </c>
      <c r="P9" s="48">
        <v>0</v>
      </c>
      <c r="Q9" s="48">
        <v>0</v>
      </c>
      <c r="R9" s="48">
        <v>3.38</v>
      </c>
      <c r="S9" s="48">
        <v>1</v>
      </c>
      <c r="T9" s="48">
        <f t="shared" si="19"/>
        <v>1254</v>
      </c>
      <c r="U9" s="48">
        <f t="shared" si="20"/>
        <v>0</v>
      </c>
      <c r="V9" s="48">
        <f t="shared" si="21"/>
        <v>0</v>
      </c>
      <c r="W9" s="48">
        <f t="shared" si="22"/>
        <v>67.599999999999994</v>
      </c>
      <c r="X9" s="48">
        <f>($T9*'Данные для расчета'!$B$2+'Данные для расчета'!$B$4*$V9)</f>
        <v>877.8</v>
      </c>
      <c r="Y9" s="48">
        <f>($T9*'Данные для расчета'!$B$3+'Данные для расчета'!$B$5*$V9)</f>
        <v>125.4</v>
      </c>
      <c r="Z9" s="48">
        <f t="shared" si="23"/>
        <v>2324.7999999999997</v>
      </c>
      <c r="AA9" s="48">
        <f>ROUND(Z9*'Данные для расчета'!$B$7,2)</f>
        <v>511.46</v>
      </c>
      <c r="AB9" s="48">
        <f t="shared" si="24"/>
        <v>2836.2599999999998</v>
      </c>
      <c r="AC9" s="48">
        <f>O9/'[2]Данные для расчета'!$B$12</f>
        <v>31.381381381381384</v>
      </c>
      <c r="AD9" s="48">
        <f t="shared" si="25"/>
        <v>0</v>
      </c>
      <c r="AE9" s="48">
        <f>Q9/'[2]Данные для расчета'!$B$12</f>
        <v>0</v>
      </c>
      <c r="AF9" s="48">
        <f t="shared" si="26"/>
        <v>3.38</v>
      </c>
      <c r="AG9" s="48">
        <f t="shared" si="27"/>
        <v>627.6276276276277</v>
      </c>
      <c r="AH9" s="48">
        <f t="shared" si="27"/>
        <v>0</v>
      </c>
      <c r="AI9" s="48">
        <f t="shared" si="27"/>
        <v>0</v>
      </c>
      <c r="AJ9" s="48">
        <f t="shared" ref="AJ9:AJ15" si="28">AF9*$N9</f>
        <v>67.599999999999994</v>
      </c>
      <c r="AK9" s="48">
        <f>($AG9*'Данные для расчета'!$B$2+'Данные для расчета'!$B$4*$AI9)</f>
        <v>439.33933933933935</v>
      </c>
      <c r="AL9" s="48">
        <f>($AG9*'Данные для расчета'!$B$3+'Данные для расчета'!$B$5*$AI9)</f>
        <v>62.762762762762776</v>
      </c>
      <c r="AM9" s="48">
        <f t="shared" si="15"/>
        <v>1197.3297297297299</v>
      </c>
      <c r="AN9" s="48">
        <f>ROUND(AM9*'Данные для расчета'!$B$7,2)</f>
        <v>263.41000000000003</v>
      </c>
      <c r="AO9" s="48">
        <f t="shared" si="16"/>
        <v>1460.73972972973</v>
      </c>
      <c r="AP9">
        <v>0.09</v>
      </c>
      <c r="AQ9">
        <f t="shared" si="14"/>
        <v>1.7999999999999998</v>
      </c>
    </row>
    <row r="10" spans="1:45" ht="15" customHeight="1" x14ac:dyDescent="0.25">
      <c r="A10" s="46">
        <v>4</v>
      </c>
      <c r="B10" s="49" t="s">
        <v>104</v>
      </c>
      <c r="C10" s="49" t="s">
        <v>192</v>
      </c>
      <c r="D10" s="46" t="s">
        <v>193</v>
      </c>
      <c r="E10" s="46" t="s">
        <v>197</v>
      </c>
      <c r="F10" s="67" t="s">
        <v>50</v>
      </c>
      <c r="G10" s="46" t="s">
        <v>198</v>
      </c>
      <c r="H10" s="48" t="s">
        <v>33</v>
      </c>
      <c r="I10" s="48" t="s">
        <v>196</v>
      </c>
      <c r="J10" s="49">
        <v>2</v>
      </c>
      <c r="K10" s="49">
        <v>2</v>
      </c>
      <c r="L10" s="49">
        <f t="shared" si="17"/>
        <v>4</v>
      </c>
      <c r="M10" s="49">
        <v>1</v>
      </c>
      <c r="N10">
        <f t="shared" ref="N10:N12" si="29">L10/M10</f>
        <v>4</v>
      </c>
      <c r="O10" s="48">
        <v>877.77</v>
      </c>
      <c r="P10" s="48">
        <v>0</v>
      </c>
      <c r="Q10" s="48">
        <v>0</v>
      </c>
      <c r="R10" s="48">
        <v>3.38</v>
      </c>
      <c r="S10" s="48">
        <v>1</v>
      </c>
      <c r="T10" s="48">
        <f t="shared" si="19"/>
        <v>3511.08</v>
      </c>
      <c r="U10" s="48">
        <f t="shared" si="20"/>
        <v>0</v>
      </c>
      <c r="V10" s="48">
        <f t="shared" si="21"/>
        <v>0</v>
      </c>
      <c r="W10" s="48">
        <f t="shared" si="22"/>
        <v>13.52</v>
      </c>
      <c r="X10" s="48">
        <f>($T10*'Данные для расчета'!$B$2+'Данные для расчета'!$B$4*$V10)</f>
        <v>2457.7559999999999</v>
      </c>
      <c r="Y10" s="48">
        <f>($T10*'Данные для расчета'!$B$3+'Данные для расчета'!$B$5*$V10)</f>
        <v>351.108</v>
      </c>
      <c r="Z10" s="48">
        <f t="shared" si="23"/>
        <v>6333.4639999999999</v>
      </c>
      <c r="AA10" s="48">
        <f>ROUND(Z10*'Данные для расчета'!$B$7,2)</f>
        <v>1393.36</v>
      </c>
      <c r="AB10" s="48">
        <f t="shared" si="24"/>
        <v>7726.8239999999996</v>
      </c>
      <c r="AC10" s="48">
        <f>O10/'[2]Данные для расчета'!$B$12</f>
        <v>439.32432432432432</v>
      </c>
      <c r="AD10" s="48">
        <f t="shared" si="25"/>
        <v>0</v>
      </c>
      <c r="AE10" s="48">
        <f>Q10/'[2]Данные для расчета'!$B$12</f>
        <v>0</v>
      </c>
      <c r="AF10" s="48">
        <f t="shared" si="26"/>
        <v>3.38</v>
      </c>
      <c r="AG10" s="48">
        <f t="shared" si="27"/>
        <v>1757.2972972972973</v>
      </c>
      <c r="AH10" s="48">
        <f t="shared" si="27"/>
        <v>0</v>
      </c>
      <c r="AI10" s="48">
        <f t="shared" si="27"/>
        <v>0</v>
      </c>
      <c r="AJ10" s="48">
        <f t="shared" si="28"/>
        <v>13.52</v>
      </c>
      <c r="AK10" s="48">
        <f>($AG10*'Данные для расчета'!$B$2+'Данные для расчета'!$B$4*$AI10)</f>
        <v>1230.1081081081081</v>
      </c>
      <c r="AL10" s="48">
        <f>($AG10*'Данные для расчета'!$B$3+'Данные для расчета'!$B$5*$AI10)</f>
        <v>175.72972972972974</v>
      </c>
      <c r="AM10" s="48">
        <f t="shared" si="15"/>
        <v>3176.655135135135</v>
      </c>
      <c r="AN10" s="48">
        <f>ROUND(AM10*'Данные для расчета'!$B$7,2)</f>
        <v>698.86</v>
      </c>
      <c r="AO10" s="48">
        <f t="shared" si="16"/>
        <v>3875.5151351351351</v>
      </c>
      <c r="AP10">
        <v>1.26</v>
      </c>
      <c r="AQ10">
        <f t="shared" si="14"/>
        <v>5.04</v>
      </c>
    </row>
    <row r="11" spans="1:45" ht="15" customHeight="1" x14ac:dyDescent="0.25">
      <c r="A11" s="46">
        <v>6</v>
      </c>
      <c r="B11" s="49" t="s">
        <v>111</v>
      </c>
      <c r="C11" s="49" t="s">
        <v>199</v>
      </c>
      <c r="D11" s="46" t="s">
        <v>85</v>
      </c>
      <c r="E11" s="46" t="s">
        <v>200</v>
      </c>
      <c r="F11" s="67" t="s">
        <v>201</v>
      </c>
      <c r="G11" s="46" t="s">
        <v>202</v>
      </c>
      <c r="H11" s="48" t="s">
        <v>37</v>
      </c>
      <c r="I11" s="48" t="s">
        <v>196</v>
      </c>
      <c r="J11" s="49">
        <v>10</v>
      </c>
      <c r="K11" s="49">
        <v>2</v>
      </c>
      <c r="L11" s="49">
        <f t="shared" si="17"/>
        <v>20</v>
      </c>
      <c r="M11" s="49">
        <v>1</v>
      </c>
      <c r="N11">
        <f t="shared" si="29"/>
        <v>20</v>
      </c>
      <c r="O11" s="48">
        <v>139.33000000000001</v>
      </c>
      <c r="P11" s="48">
        <v>0</v>
      </c>
      <c r="Q11" s="48">
        <v>0</v>
      </c>
      <c r="R11" s="48">
        <v>7.15</v>
      </c>
      <c r="S11" s="48">
        <v>1</v>
      </c>
      <c r="T11" s="48">
        <f t="shared" si="19"/>
        <v>2786.6000000000004</v>
      </c>
      <c r="U11" s="48">
        <f t="shared" si="20"/>
        <v>0</v>
      </c>
      <c r="V11" s="48">
        <f t="shared" si="21"/>
        <v>0</v>
      </c>
      <c r="W11" s="48">
        <f t="shared" si="22"/>
        <v>143</v>
      </c>
      <c r="X11" s="48">
        <f>($T11*'Данные для расчета'!$B$2+'Данные для расчета'!$B$4*$V11)</f>
        <v>1950.6200000000001</v>
      </c>
      <c r="Y11" s="48">
        <f>($T11*'Данные для расчета'!$B$3+'Данные для расчета'!$B$5*$V11)</f>
        <v>278.66000000000003</v>
      </c>
      <c r="Z11" s="48">
        <f t="shared" si="23"/>
        <v>5158.88</v>
      </c>
      <c r="AA11" s="48">
        <f>ROUND(Z11*'Данные для расчета'!$B$7,2)</f>
        <v>1134.95</v>
      </c>
      <c r="AB11" s="48">
        <f t="shared" si="24"/>
        <v>6293.83</v>
      </c>
      <c r="AC11" s="48">
        <f>O11/'[2]Данные для расчета'!$B$12</f>
        <v>69.734734734734744</v>
      </c>
      <c r="AD11" s="48">
        <f t="shared" si="25"/>
        <v>0</v>
      </c>
      <c r="AE11" s="48">
        <f>Q11/'[2]Данные для расчета'!$B$12</f>
        <v>0</v>
      </c>
      <c r="AF11" s="48">
        <f t="shared" si="26"/>
        <v>7.15</v>
      </c>
      <c r="AG11" s="48">
        <f t="shared" si="27"/>
        <v>1394.6946946946948</v>
      </c>
      <c r="AH11" s="48">
        <f t="shared" si="27"/>
        <v>0</v>
      </c>
      <c r="AI11" s="48">
        <f t="shared" si="27"/>
        <v>0</v>
      </c>
      <c r="AJ11" s="48">
        <f t="shared" si="28"/>
        <v>143</v>
      </c>
      <c r="AK11" s="48">
        <f>($AG11*'Данные для расчета'!$B$2+'Данные для расчета'!$B$4*$AI11)</f>
        <v>976.28628628628633</v>
      </c>
      <c r="AL11" s="48">
        <f>($AG11*'Данные для расчета'!$B$3+'Данные для расчета'!$B$5*$AI11)</f>
        <v>139.46946946946949</v>
      </c>
      <c r="AM11" s="48">
        <f t="shared" si="15"/>
        <v>2653.4504504504507</v>
      </c>
      <c r="AN11" s="48">
        <f>ROUND(AM11*'Данные для расчета'!$B$7,2)</f>
        <v>583.76</v>
      </c>
      <c r="AO11" s="48">
        <f t="shared" si="16"/>
        <v>3237.2104504504505</v>
      </c>
      <c r="AP11">
        <v>0.2</v>
      </c>
      <c r="AQ11">
        <f t="shared" si="14"/>
        <v>4</v>
      </c>
    </row>
    <row r="12" spans="1:45" ht="15" customHeight="1" x14ac:dyDescent="0.25">
      <c r="A12" s="46">
        <v>6</v>
      </c>
      <c r="B12" s="49" t="s">
        <v>111</v>
      </c>
      <c r="C12" s="49" t="s">
        <v>199</v>
      </c>
      <c r="D12" s="46" t="s">
        <v>85</v>
      </c>
      <c r="E12" s="46" t="s">
        <v>200</v>
      </c>
      <c r="F12" s="67" t="s">
        <v>203</v>
      </c>
      <c r="G12" s="46" t="s">
        <v>204</v>
      </c>
      <c r="H12" s="48" t="s">
        <v>33</v>
      </c>
      <c r="I12" s="48" t="s">
        <v>196</v>
      </c>
      <c r="J12" s="49">
        <v>2</v>
      </c>
      <c r="K12" s="49">
        <v>2</v>
      </c>
      <c r="L12" s="49">
        <f t="shared" si="17"/>
        <v>4</v>
      </c>
      <c r="M12" s="49">
        <v>1</v>
      </c>
      <c r="N12">
        <f t="shared" si="29"/>
        <v>4</v>
      </c>
      <c r="O12" s="48">
        <v>501.59</v>
      </c>
      <c r="P12" s="48">
        <v>0</v>
      </c>
      <c r="Q12" s="48">
        <v>0</v>
      </c>
      <c r="R12" s="48">
        <v>3.85</v>
      </c>
      <c r="S12" s="48">
        <v>1</v>
      </c>
      <c r="T12" s="48">
        <f t="shared" si="19"/>
        <v>2006.36</v>
      </c>
      <c r="U12" s="48">
        <f t="shared" si="20"/>
        <v>0</v>
      </c>
      <c r="V12" s="48">
        <f t="shared" si="21"/>
        <v>0</v>
      </c>
      <c r="W12" s="48">
        <f t="shared" si="22"/>
        <v>15.4</v>
      </c>
      <c r="X12" s="48">
        <f>($T12*'Данные для расчета'!$B$2+'Данные для расчета'!$B$4*$V12)</f>
        <v>1404.4519999999998</v>
      </c>
      <c r="Y12" s="48">
        <f>($T12*'Данные для расчета'!$B$3+'Данные для расчета'!$B$5*$V12)</f>
        <v>200.636</v>
      </c>
      <c r="Z12" s="48">
        <f t="shared" si="23"/>
        <v>3626.8479999999995</v>
      </c>
      <c r="AA12" s="48">
        <f>ROUND(Z12*'Данные для расчета'!$B$7,2)</f>
        <v>797.91</v>
      </c>
      <c r="AB12" s="48">
        <f t="shared" si="24"/>
        <v>4424.7579999999998</v>
      </c>
      <c r="AC12" s="48">
        <f>O12/'[2]Данные для расчета'!$B$12</f>
        <v>251.04604604604603</v>
      </c>
      <c r="AD12" s="48">
        <f t="shared" si="25"/>
        <v>0</v>
      </c>
      <c r="AE12" s="48">
        <f>Q12/'[2]Данные для расчета'!$B$12</f>
        <v>0</v>
      </c>
      <c r="AF12" s="48">
        <f t="shared" si="26"/>
        <v>3.85</v>
      </c>
      <c r="AG12" s="48">
        <f t="shared" si="27"/>
        <v>1004.1841841841841</v>
      </c>
      <c r="AH12" s="48">
        <f t="shared" si="27"/>
        <v>0</v>
      </c>
      <c r="AI12" s="48">
        <f t="shared" si="27"/>
        <v>0</v>
      </c>
      <c r="AJ12" s="48">
        <f t="shared" si="28"/>
        <v>15.4</v>
      </c>
      <c r="AK12" s="48">
        <f>($AG12*'Данные для расчета'!$B$2+'Данные для расчета'!$B$4*$AI12)</f>
        <v>702.92892892892883</v>
      </c>
      <c r="AL12" s="48">
        <f>($AG12*'Данные для расчета'!$B$3+'Данные для расчета'!$B$5*$AI12)</f>
        <v>100.41841841841841</v>
      </c>
      <c r="AM12" s="48">
        <f t="shared" si="15"/>
        <v>1822.9315315315314</v>
      </c>
      <c r="AN12" s="48">
        <f>ROUND(AM12*'Данные для расчета'!$B$7,2)</f>
        <v>401.04</v>
      </c>
      <c r="AO12" s="48">
        <f t="shared" si="16"/>
        <v>2223.9715315315316</v>
      </c>
      <c r="AP12">
        <v>0.72</v>
      </c>
      <c r="AQ12">
        <f t="shared" si="14"/>
        <v>2.88</v>
      </c>
    </row>
    <row r="13" spans="1:45" ht="15" customHeight="1" x14ac:dyDescent="0.25">
      <c r="A13" s="46">
        <v>8</v>
      </c>
      <c r="B13" s="49" t="s">
        <v>104</v>
      </c>
      <c r="C13" s="49" t="s">
        <v>205</v>
      </c>
      <c r="D13" s="46" t="s">
        <v>193</v>
      </c>
      <c r="E13" s="46" t="s">
        <v>194</v>
      </c>
      <c r="F13" s="67" t="s">
        <v>106</v>
      </c>
      <c r="G13" s="46" t="s">
        <v>195</v>
      </c>
      <c r="H13" s="48" t="s">
        <v>37</v>
      </c>
      <c r="I13" s="48" t="s">
        <v>196</v>
      </c>
      <c r="J13" s="49">
        <v>10</v>
      </c>
      <c r="K13" s="49">
        <v>8</v>
      </c>
      <c r="L13" s="49">
        <f t="shared" si="17"/>
        <v>80</v>
      </c>
      <c r="M13" s="49">
        <v>1</v>
      </c>
      <c r="N13">
        <f>L13/M13</f>
        <v>80</v>
      </c>
      <c r="O13" s="48">
        <v>62.7</v>
      </c>
      <c r="P13" s="48">
        <v>0</v>
      </c>
      <c r="Q13" s="48">
        <v>0</v>
      </c>
      <c r="R13" s="48">
        <v>3.38</v>
      </c>
      <c r="S13" s="48">
        <v>1</v>
      </c>
      <c r="T13" s="48">
        <f t="shared" si="19"/>
        <v>5016</v>
      </c>
      <c r="U13" s="48">
        <f t="shared" si="20"/>
        <v>0</v>
      </c>
      <c r="V13" s="48">
        <f t="shared" si="21"/>
        <v>0</v>
      </c>
      <c r="W13" s="48">
        <f t="shared" si="22"/>
        <v>270.39999999999998</v>
      </c>
      <c r="X13" s="48">
        <f>($T13*'Данные для расчета'!$B$2+'Данные для расчета'!$B$4*$V13)</f>
        <v>3511.2</v>
      </c>
      <c r="Y13" s="48">
        <f>($T13*'Данные для расчета'!$B$3+'Данные для расчета'!$B$5*$V13)</f>
        <v>501.6</v>
      </c>
      <c r="Z13" s="48">
        <f t="shared" si="23"/>
        <v>9299.1999999999989</v>
      </c>
      <c r="AA13" s="48">
        <f>ROUND(Z13*'Данные для расчета'!$B$7,2)</f>
        <v>2045.82</v>
      </c>
      <c r="AB13" s="48">
        <f t="shared" si="24"/>
        <v>11345.019999999999</v>
      </c>
      <c r="AC13" s="48">
        <f>O13/'[2]Данные для расчета'!$B$12</f>
        <v>31.381381381381384</v>
      </c>
      <c r="AD13" s="48">
        <f t="shared" si="25"/>
        <v>0</v>
      </c>
      <c r="AE13" s="48">
        <f>Q13/'[2]Данные для расчета'!$B$12</f>
        <v>0</v>
      </c>
      <c r="AF13" s="48">
        <f t="shared" si="26"/>
        <v>3.38</v>
      </c>
      <c r="AG13" s="48">
        <f t="shared" si="27"/>
        <v>2510.5105105105108</v>
      </c>
      <c r="AH13" s="48">
        <f t="shared" si="27"/>
        <v>0</v>
      </c>
      <c r="AI13" s="48">
        <f t="shared" si="27"/>
        <v>0</v>
      </c>
      <c r="AJ13" s="48">
        <f t="shared" si="28"/>
        <v>270.39999999999998</v>
      </c>
      <c r="AK13" s="48">
        <f>($AG13*'Данные для расчета'!$B$2+'Данные для расчета'!$B$4*$AI13)</f>
        <v>1757.3573573573574</v>
      </c>
      <c r="AL13" s="48">
        <f>($AG13*'Данные для расчета'!$B$3+'Данные для расчета'!$B$5*$AI13)</f>
        <v>251.0510510510511</v>
      </c>
      <c r="AM13" s="48">
        <f t="shared" si="15"/>
        <v>4789.3189189189197</v>
      </c>
      <c r="AN13" s="48">
        <f>ROUND(AM13*'Данные для расчета'!$B$7,2)</f>
        <v>1053.6500000000001</v>
      </c>
      <c r="AO13" s="48">
        <f t="shared" si="16"/>
        <v>5842.9689189189194</v>
      </c>
      <c r="AP13">
        <v>0.09</v>
      </c>
      <c r="AQ13">
        <f t="shared" si="14"/>
        <v>7.1999999999999993</v>
      </c>
    </row>
    <row r="14" spans="1:45" ht="15" customHeight="1" x14ac:dyDescent="0.25">
      <c r="A14" s="46">
        <v>8</v>
      </c>
      <c r="B14" s="49" t="s">
        <v>104</v>
      </c>
      <c r="C14" s="49" t="s">
        <v>205</v>
      </c>
      <c r="D14" s="46" t="s">
        <v>193</v>
      </c>
      <c r="E14" s="46" t="s">
        <v>197</v>
      </c>
      <c r="F14" s="67" t="s">
        <v>50</v>
      </c>
      <c r="G14" s="46" t="s">
        <v>198</v>
      </c>
      <c r="H14" s="48" t="s">
        <v>33</v>
      </c>
      <c r="I14" s="48" t="s">
        <v>196</v>
      </c>
      <c r="J14" s="49">
        <v>2</v>
      </c>
      <c r="K14" s="49">
        <v>8</v>
      </c>
      <c r="L14" s="49">
        <f t="shared" si="17"/>
        <v>16</v>
      </c>
      <c r="M14" s="49">
        <v>1</v>
      </c>
      <c r="N14">
        <f t="shared" ref="N14" si="30">L14/M14</f>
        <v>16</v>
      </c>
      <c r="O14" s="48">
        <v>877.77</v>
      </c>
      <c r="P14" s="48">
        <v>0</v>
      </c>
      <c r="Q14" s="48">
        <v>0</v>
      </c>
      <c r="R14" s="48">
        <v>3.38</v>
      </c>
      <c r="S14" s="48">
        <v>1</v>
      </c>
      <c r="T14" s="48">
        <f t="shared" si="19"/>
        <v>14044.32</v>
      </c>
      <c r="U14" s="48">
        <f t="shared" si="20"/>
        <v>0</v>
      </c>
      <c r="V14" s="48">
        <f t="shared" si="21"/>
        <v>0</v>
      </c>
      <c r="W14" s="48">
        <f t="shared" si="22"/>
        <v>54.08</v>
      </c>
      <c r="X14" s="48">
        <f>($T14*'Данные для расчета'!$B$2+'Данные для расчета'!$B$4*$V14)</f>
        <v>9831.0239999999994</v>
      </c>
      <c r="Y14" s="48">
        <f>($T14*'Данные для расчета'!$B$3+'Данные для расчета'!$B$5*$V14)</f>
        <v>1404.432</v>
      </c>
      <c r="Z14" s="48">
        <f t="shared" si="23"/>
        <v>25333.856</v>
      </c>
      <c r="AA14" s="48">
        <f>ROUND(Z14*'Данные для расчета'!$B$7,2)</f>
        <v>5573.45</v>
      </c>
      <c r="AB14" s="48">
        <f t="shared" si="24"/>
        <v>30907.306</v>
      </c>
      <c r="AC14" s="48">
        <f>O14/'[2]Данные для расчета'!$B$12</f>
        <v>439.32432432432432</v>
      </c>
      <c r="AD14" s="48">
        <f t="shared" si="25"/>
        <v>0</v>
      </c>
      <c r="AE14" s="48">
        <f>Q14/'[2]Данные для расчета'!$B$12</f>
        <v>0</v>
      </c>
      <c r="AF14" s="48">
        <f t="shared" si="26"/>
        <v>3.38</v>
      </c>
      <c r="AG14" s="48">
        <f t="shared" si="27"/>
        <v>7029.1891891891892</v>
      </c>
      <c r="AH14" s="48">
        <f t="shared" si="27"/>
        <v>0</v>
      </c>
      <c r="AI14" s="48">
        <f t="shared" si="27"/>
        <v>0</v>
      </c>
      <c r="AJ14" s="48">
        <f t="shared" si="28"/>
        <v>54.08</v>
      </c>
      <c r="AK14" s="48">
        <f>($AG14*'Данные для расчета'!$B$2+'Данные для расчета'!$B$4*$AI14)</f>
        <v>4920.4324324324325</v>
      </c>
      <c r="AL14" s="48">
        <f>($AG14*'Данные для расчета'!$B$3+'Данные для расчета'!$B$5*$AI14)</f>
        <v>702.91891891891896</v>
      </c>
      <c r="AM14" s="48">
        <f t="shared" si="15"/>
        <v>12706.62054054054</v>
      </c>
      <c r="AN14" s="48">
        <f>ROUND(AM14*'Данные для расчета'!$B$7,2)</f>
        <v>2795.46</v>
      </c>
      <c r="AO14" s="48">
        <f t="shared" si="16"/>
        <v>15502.080540540541</v>
      </c>
      <c r="AP14">
        <v>1.26</v>
      </c>
      <c r="AQ14">
        <f t="shared" si="14"/>
        <v>20.16</v>
      </c>
    </row>
    <row r="15" spans="1:45" ht="30" customHeight="1" x14ac:dyDescent="0.25">
      <c r="A15" s="46" t="s">
        <v>282</v>
      </c>
      <c r="B15" s="49" t="s">
        <v>206</v>
      </c>
      <c r="C15" s="49" t="s">
        <v>207</v>
      </c>
      <c r="D15" s="46"/>
      <c r="E15" s="46" t="s">
        <v>208</v>
      </c>
      <c r="F15" s="67" t="s">
        <v>209</v>
      </c>
      <c r="G15" s="51" t="s">
        <v>210</v>
      </c>
      <c r="H15" s="48" t="s">
        <v>33</v>
      </c>
      <c r="I15" s="48" t="s">
        <v>196</v>
      </c>
      <c r="J15" s="49">
        <v>1</v>
      </c>
      <c r="K15" s="49">
        <f>1818+5</f>
        <v>1823</v>
      </c>
      <c r="L15" s="49">
        <f>K15*J15</f>
        <v>1823</v>
      </c>
      <c r="M15" s="49">
        <v>1</v>
      </c>
      <c r="N15">
        <f>L15/M15</f>
        <v>1823</v>
      </c>
      <c r="O15" s="48">
        <v>52.15</v>
      </c>
      <c r="P15" s="48">
        <v>5.51</v>
      </c>
      <c r="Q15" s="48">
        <v>3.32</v>
      </c>
      <c r="R15" s="48">
        <v>0</v>
      </c>
      <c r="S15" s="48">
        <v>0.75</v>
      </c>
      <c r="T15" s="48">
        <f t="shared" si="19"/>
        <v>71302.087499999994</v>
      </c>
      <c r="U15" s="48">
        <f t="shared" si="20"/>
        <v>7533.5474999999997</v>
      </c>
      <c r="V15" s="48">
        <f t="shared" si="21"/>
        <v>4539.2699999999995</v>
      </c>
      <c r="W15" s="48">
        <f t="shared" si="22"/>
        <v>0</v>
      </c>
      <c r="X15" s="48">
        <f>($T15*'Данные для расчета'!$B$2+'Данные для расчета'!$B$4*$V15)</f>
        <v>53452.09184999999</v>
      </c>
      <c r="Y15" s="48">
        <f>($T15*'Данные для расчета'!$B$3+'Данные для расчета'!$B$5*$V15)</f>
        <v>8491.9897499999988</v>
      </c>
      <c r="Z15" s="48">
        <f t="shared" si="23"/>
        <v>140779.71659999999</v>
      </c>
      <c r="AA15" s="48">
        <f>ROUND(Z15*'Данные для расчета'!$B$7,2)</f>
        <v>30971.54</v>
      </c>
      <c r="AB15" s="48">
        <f t="shared" si="24"/>
        <v>171751.25659999999</v>
      </c>
      <c r="AC15" s="48">
        <f>O15/'[2]Данные для расчета'!$B$12</f>
        <v>26.101101101101101</v>
      </c>
      <c r="AD15" s="48">
        <f t="shared" si="25"/>
        <v>3.8516616616616615</v>
      </c>
      <c r="AE15" s="48">
        <f>Q15/'[2]Данные для расчета'!$B$12</f>
        <v>1.6616616616616615</v>
      </c>
      <c r="AF15" s="48">
        <f t="shared" si="26"/>
        <v>0</v>
      </c>
      <c r="AG15" s="48">
        <f t="shared" si="27"/>
        <v>35686.730480480481</v>
      </c>
      <c r="AH15" s="48">
        <f t="shared" si="27"/>
        <v>5266.1844069069066</v>
      </c>
      <c r="AI15" s="48">
        <f t="shared" si="27"/>
        <v>2271.9069069069064</v>
      </c>
      <c r="AJ15" s="48">
        <f t="shared" si="28"/>
        <v>0</v>
      </c>
      <c r="AK15" s="48">
        <f>($AG15*'Данные для расчета'!$B$2+'Данные для расчета'!$B$4*$AI15)</f>
        <v>26752.798723723721</v>
      </c>
      <c r="AL15" s="48">
        <f>($AG15*'Данные для расчета'!$B$3+'Данные для расчета'!$B$5*$AI15)</f>
        <v>4250.2451201201202</v>
      </c>
      <c r="AM15" s="48">
        <f t="shared" si="15"/>
        <v>71955.958731231221</v>
      </c>
      <c r="AN15" s="48">
        <f>ROUND(AM15*'Данные для расчета'!$B$7,2)</f>
        <v>15830.31</v>
      </c>
      <c r="AO15" s="48">
        <f t="shared" si="16"/>
        <v>87786.268731231219</v>
      </c>
      <c r="AP15">
        <v>7.0000000000000007E-2</v>
      </c>
      <c r="AQ15">
        <f t="shared" si="14"/>
        <v>127.61000000000001</v>
      </c>
    </row>
    <row r="16" spans="1:45" ht="42" customHeight="1" x14ac:dyDescent="0.25">
      <c r="A16" s="46" t="s">
        <v>283</v>
      </c>
      <c r="B16" s="49" t="s">
        <v>206</v>
      </c>
      <c r="C16" s="49" t="s">
        <v>207</v>
      </c>
      <c r="D16" s="46"/>
      <c r="E16" s="46" t="s">
        <v>256</v>
      </c>
      <c r="F16" s="67" t="s">
        <v>63</v>
      </c>
      <c r="G16" s="51" t="s">
        <v>64</v>
      </c>
      <c r="H16" s="48" t="s">
        <v>221</v>
      </c>
      <c r="I16" s="48" t="s">
        <v>196</v>
      </c>
      <c r="J16" s="49">
        <v>1</v>
      </c>
      <c r="K16" s="49">
        <f t="shared" ref="K16:K18" si="31">1818+5</f>
        <v>1823</v>
      </c>
      <c r="L16" s="49">
        <f>K16*J16</f>
        <v>1823</v>
      </c>
      <c r="M16" s="49">
        <v>1</v>
      </c>
      <c r="N16">
        <f>L16/M16</f>
        <v>1823</v>
      </c>
      <c r="O16" s="48">
        <v>111.46</v>
      </c>
      <c r="P16" s="48">
        <v>0</v>
      </c>
      <c r="Q16" s="48">
        <v>0</v>
      </c>
      <c r="R16" s="48">
        <v>0.06</v>
      </c>
      <c r="S16" s="48">
        <v>1</v>
      </c>
      <c r="T16" s="48">
        <f>O16*N16*S16</f>
        <v>203191.58</v>
      </c>
      <c r="U16" s="48">
        <f>P16*N16*S16</f>
        <v>0</v>
      </c>
      <c r="V16" s="48">
        <f>Q16*N16*S16</f>
        <v>0</v>
      </c>
      <c r="W16" s="48">
        <f>R16*N16</f>
        <v>109.38</v>
      </c>
      <c r="X16" s="48">
        <f>($T16*'Данные для расчета'!$B$2+'Данные для расчета'!$B$4*$V16)</f>
        <v>142234.10599999997</v>
      </c>
      <c r="Y16" s="48">
        <f>($T16*'Данные для расчета'!$B$3+'Данные для расчета'!$B$5*$V16)</f>
        <v>20319.157999999999</v>
      </c>
      <c r="Z16" s="48">
        <f>T16+U16+W16+X16+Y16</f>
        <v>365854.22399999999</v>
      </c>
      <c r="AA16" s="48">
        <f>ROUND(Z16*'Данные для расчета'!$B$7,2)</f>
        <v>80487.929999999993</v>
      </c>
      <c r="AB16" s="48">
        <f>Z16+AA16</f>
        <v>446342.15399999998</v>
      </c>
      <c r="AC16" s="48">
        <f>O16/'[1]Данные для расчета'!$B$12</f>
        <v>55.785785785785784</v>
      </c>
      <c r="AD16" s="48">
        <f>P16-Q16+AE16</f>
        <v>0</v>
      </c>
      <c r="AE16" s="48">
        <f>Q16/'[1]Данные для расчета'!$B$12</f>
        <v>0</v>
      </c>
      <c r="AF16" s="48">
        <f>R16</f>
        <v>0.06</v>
      </c>
      <c r="AG16" s="48">
        <f>AC16*$N16*$S16</f>
        <v>101697.48748748748</v>
      </c>
      <c r="AH16" s="48">
        <f>AD16*$N16*$S16</f>
        <v>0</v>
      </c>
      <c r="AI16" s="48">
        <f>AE16*$N16*$S16</f>
        <v>0</v>
      </c>
      <c r="AJ16" s="48">
        <f>AF16*$N16*$S16</f>
        <v>109.38</v>
      </c>
      <c r="AK16" s="48">
        <f>($AG16*'Данные для расчета'!$B$2+'Данные для расчета'!$B$4*$AI16)</f>
        <v>71188.241241241238</v>
      </c>
      <c r="AL16" s="48">
        <f>($AG16*'Данные для расчета'!$B$3+'Данные для расчета'!$B$5*$AI16)</f>
        <v>10169.748748748749</v>
      </c>
      <c r="AM16" s="48">
        <f t="shared" si="15"/>
        <v>183164.85747747746</v>
      </c>
      <c r="AN16" s="48">
        <f>ROUND(AM16*'Данные для расчета'!$B$7,2)</f>
        <v>40296.269999999997</v>
      </c>
      <c r="AO16" s="48">
        <f t="shared" si="16"/>
        <v>223461.12747747745</v>
      </c>
      <c r="AP16">
        <v>0.16</v>
      </c>
      <c r="AQ16">
        <f t="shared" si="14"/>
        <v>291.68</v>
      </c>
      <c r="AS16" t="s">
        <v>211</v>
      </c>
    </row>
    <row r="17" spans="1:43" ht="54" customHeight="1" x14ac:dyDescent="0.25">
      <c r="A17" s="46" t="s">
        <v>284</v>
      </c>
      <c r="B17" s="49" t="s">
        <v>206</v>
      </c>
      <c r="C17" s="49" t="s">
        <v>207</v>
      </c>
      <c r="D17" s="46"/>
      <c r="E17" s="46" t="s">
        <v>257</v>
      </c>
      <c r="F17" s="67" t="s">
        <v>213</v>
      </c>
      <c r="G17" s="51" t="s">
        <v>214</v>
      </c>
      <c r="H17" s="48" t="s">
        <v>54</v>
      </c>
      <c r="I17" s="48" t="s">
        <v>196</v>
      </c>
      <c r="J17" s="49">
        <v>1</v>
      </c>
      <c r="K17" s="49">
        <f t="shared" si="31"/>
        <v>1823</v>
      </c>
      <c r="L17" s="49">
        <f t="shared" ref="L17:L18" si="32">K17*J17</f>
        <v>1823</v>
      </c>
      <c r="M17" s="49">
        <v>1</v>
      </c>
      <c r="N17">
        <f t="shared" ref="N17:N18" si="33">L17/M17</f>
        <v>1823</v>
      </c>
      <c r="O17" s="48">
        <v>153.26</v>
      </c>
      <c r="P17" s="48">
        <v>0</v>
      </c>
      <c r="Q17" s="48">
        <v>0</v>
      </c>
      <c r="R17" s="48">
        <v>0</v>
      </c>
      <c r="S17" s="48">
        <v>1</v>
      </c>
      <c r="T17" s="48">
        <f t="shared" ref="T17:T18" si="34">O17*N17*S17</f>
        <v>279392.98</v>
      </c>
      <c r="U17" s="48">
        <f t="shared" ref="U17:U18" si="35">P17*N17*S17</f>
        <v>0</v>
      </c>
      <c r="V17" s="48">
        <f t="shared" ref="V17:V18" si="36">Q17*N17*S17</f>
        <v>0</v>
      </c>
      <c r="W17" s="48">
        <f t="shared" ref="W17:W18" si="37">R17*N17</f>
        <v>0</v>
      </c>
      <c r="X17" s="48">
        <f>($T17*'Данные для расчета'!$B$2+'Данные для расчета'!$B$4*$V17)</f>
        <v>195575.08599999998</v>
      </c>
      <c r="Y17" s="48">
        <f>($T17*'Данные для расчета'!$B$3+'Данные для расчета'!$B$5*$V17)</f>
        <v>27939.297999999999</v>
      </c>
      <c r="Z17" s="48">
        <f t="shared" ref="Z17:Z18" si="38">T17+U17+W17+X17+Y17</f>
        <v>502907.364</v>
      </c>
      <c r="AA17" s="48">
        <f>ROUND(Z17*'Данные для расчета'!$B$7,2)</f>
        <v>110639.62</v>
      </c>
      <c r="AB17" s="48">
        <f t="shared" ref="AB17:AB18" si="39">Z17+AA17</f>
        <v>613546.98399999994</v>
      </c>
      <c r="AC17" s="48">
        <f>O17/'[1]Данные для расчета'!$B$12</f>
        <v>76.706706706706697</v>
      </c>
      <c r="AD17" s="48">
        <f t="shared" ref="AD17:AD18" si="40">P17-Q17+AE17</f>
        <v>0</v>
      </c>
      <c r="AE17" s="48">
        <f>Q17/'[1]Данные для расчета'!$B$12</f>
        <v>0</v>
      </c>
      <c r="AF17" s="48">
        <f t="shared" ref="AF17:AF18" si="41">R17</f>
        <v>0</v>
      </c>
      <c r="AG17" s="48">
        <f t="shared" ref="AG17:AJ18" si="42">AC17*$N17*$S17</f>
        <v>139836.32632632632</v>
      </c>
      <c r="AH17" s="48">
        <f t="shared" si="42"/>
        <v>0</v>
      </c>
      <c r="AI17" s="48">
        <f t="shared" si="42"/>
        <v>0</v>
      </c>
      <c r="AJ17" s="48">
        <f t="shared" si="42"/>
        <v>0</v>
      </c>
      <c r="AK17" s="48">
        <f>($AG17*'Данные для расчета'!$B$2+'Данные для расчета'!$B$4*$AI17)</f>
        <v>97885.428428428422</v>
      </c>
      <c r="AL17" s="48">
        <f>($AG17*'Данные для расчета'!$B$3+'Данные для расчета'!$B$5*$AI17)</f>
        <v>13983.632632632633</v>
      </c>
      <c r="AM17" s="48">
        <f t="shared" si="15"/>
        <v>251705.38738738737</v>
      </c>
      <c r="AN17" s="48">
        <f>ROUND(AM17*'Данные для расчета'!$B$7,2)</f>
        <v>55375.19</v>
      </c>
      <c r="AO17" s="48">
        <f t="shared" si="16"/>
        <v>307080.5773873874</v>
      </c>
      <c r="AQ17">
        <f t="shared" ref="AQ17:AQ18" si="43">L17*AP17</f>
        <v>0</v>
      </c>
    </row>
    <row r="18" spans="1:43" ht="71.25" customHeight="1" x14ac:dyDescent="0.25">
      <c r="A18" s="46" t="s">
        <v>285</v>
      </c>
      <c r="B18" s="49" t="s">
        <v>206</v>
      </c>
      <c r="C18" s="49" t="s">
        <v>207</v>
      </c>
      <c r="D18" s="46"/>
      <c r="E18" s="46" t="s">
        <v>258</v>
      </c>
      <c r="F18" s="67" t="s">
        <v>215</v>
      </c>
      <c r="G18" s="51" t="s">
        <v>216</v>
      </c>
      <c r="H18" s="48" t="s">
        <v>54</v>
      </c>
      <c r="I18" s="48" t="s">
        <v>196</v>
      </c>
      <c r="J18" s="49">
        <v>1</v>
      </c>
      <c r="K18" s="49">
        <f t="shared" si="31"/>
        <v>1823</v>
      </c>
      <c r="L18" s="49">
        <f t="shared" si="32"/>
        <v>1823</v>
      </c>
      <c r="M18" s="49">
        <v>1</v>
      </c>
      <c r="N18">
        <f t="shared" si="33"/>
        <v>1823</v>
      </c>
      <c r="O18" s="48">
        <v>311.86</v>
      </c>
      <c r="P18" s="48">
        <v>0</v>
      </c>
      <c r="Q18" s="48">
        <v>0</v>
      </c>
      <c r="R18" s="48">
        <v>5.34</v>
      </c>
      <c r="S18" s="48">
        <v>1</v>
      </c>
      <c r="T18" s="48">
        <f t="shared" si="34"/>
        <v>568520.78</v>
      </c>
      <c r="U18" s="48">
        <f t="shared" si="35"/>
        <v>0</v>
      </c>
      <c r="V18" s="48">
        <f t="shared" si="36"/>
        <v>0</v>
      </c>
      <c r="W18" s="48">
        <f t="shared" si="37"/>
        <v>9734.82</v>
      </c>
      <c r="X18" s="48">
        <f>($T18*'Данные для расчета'!$B$2+'Данные для расчета'!$B$4*$V18)</f>
        <v>397964.54599999997</v>
      </c>
      <c r="Y18" s="48">
        <f>($T18*'Данные для расчета'!$B$3+'Данные для расчета'!$B$5*$V18)</f>
        <v>56852.078000000009</v>
      </c>
      <c r="Z18" s="48">
        <f t="shared" si="38"/>
        <v>1033072.2239999999</v>
      </c>
      <c r="AA18" s="48">
        <f>ROUND(Z18*'Данные для расчета'!$B$7,2)</f>
        <v>227275.89</v>
      </c>
      <c r="AB18" s="48">
        <f t="shared" si="39"/>
        <v>1260348.1140000001</v>
      </c>
      <c r="AC18" s="48">
        <f>O18/'[1]Данные для расчета'!$B$12</f>
        <v>156.08608608608608</v>
      </c>
      <c r="AD18" s="48">
        <f t="shared" si="40"/>
        <v>0</v>
      </c>
      <c r="AE18" s="48">
        <f>Q18/'[1]Данные для расчета'!$B$12</f>
        <v>0</v>
      </c>
      <c r="AF18" s="48">
        <f t="shared" si="41"/>
        <v>5.34</v>
      </c>
      <c r="AG18" s="48">
        <f t="shared" si="42"/>
        <v>284544.93493493495</v>
      </c>
      <c r="AH18" s="48">
        <f t="shared" si="42"/>
        <v>0</v>
      </c>
      <c r="AI18" s="48">
        <f t="shared" si="42"/>
        <v>0</v>
      </c>
      <c r="AJ18" s="48">
        <f t="shared" si="42"/>
        <v>9734.82</v>
      </c>
      <c r="AK18" s="48">
        <f>($AG18*'Данные для расчета'!$B$2+'Данные для расчета'!$B$4*$AI18)</f>
        <v>199181.45445445445</v>
      </c>
      <c r="AL18" s="48">
        <f>($AG18*'Данные для расчета'!$B$3+'Данные для расчета'!$B$5*$AI18)</f>
        <v>28454.493493493497</v>
      </c>
      <c r="AM18" s="48">
        <f t="shared" si="15"/>
        <v>521915.70288288285</v>
      </c>
      <c r="AN18" s="48">
        <f>ROUND(AM18*'Данные для расчета'!$B$7,2)</f>
        <v>114821.45</v>
      </c>
      <c r="AO18" s="48">
        <f t="shared" si="16"/>
        <v>636737.15288288286</v>
      </c>
      <c r="AQ18">
        <f t="shared" si="43"/>
        <v>0</v>
      </c>
    </row>
    <row r="19" spans="1:43" ht="15" customHeight="1" x14ac:dyDescent="0.25">
      <c r="A19" s="46" t="s">
        <v>286</v>
      </c>
      <c r="B19" s="49" t="s">
        <v>119</v>
      </c>
      <c r="C19" s="49" t="s">
        <v>217</v>
      </c>
      <c r="D19" s="46"/>
      <c r="E19" s="46" t="s">
        <v>212</v>
      </c>
      <c r="F19" s="47" t="s">
        <v>65</v>
      </c>
      <c r="G19" s="46" t="s">
        <v>66</v>
      </c>
      <c r="H19" s="48" t="s">
        <v>33</v>
      </c>
      <c r="I19" s="48" t="s">
        <v>196</v>
      </c>
      <c r="J19" s="49">
        <v>2</v>
      </c>
      <c r="K19" s="49">
        <f>102+1</f>
        <v>103</v>
      </c>
      <c r="L19" s="49">
        <f t="shared" ref="L19:L30" si="44">K19*J19</f>
        <v>206</v>
      </c>
      <c r="M19" s="49">
        <v>1</v>
      </c>
      <c r="N19">
        <f t="shared" ref="N19:N30" si="45">L19/M19</f>
        <v>206</v>
      </c>
      <c r="O19" s="48">
        <v>272.27</v>
      </c>
      <c r="P19" s="48">
        <v>0</v>
      </c>
      <c r="Q19" s="48">
        <v>0</v>
      </c>
      <c r="R19" s="48">
        <v>1.3</v>
      </c>
      <c r="S19" s="48">
        <v>1</v>
      </c>
      <c r="T19" s="48">
        <f t="shared" ref="T19:T24" si="46">O19*N19*S19</f>
        <v>56087.619999999995</v>
      </c>
      <c r="U19" s="48">
        <f t="shared" ref="U19:U24" si="47">P19*N19*S19</f>
        <v>0</v>
      </c>
      <c r="V19" s="48">
        <f t="shared" ref="V19:V24" si="48">Q19*N19*S19</f>
        <v>0</v>
      </c>
      <c r="W19" s="48">
        <f t="shared" ref="W19:W24" si="49">R19*N19</f>
        <v>267.8</v>
      </c>
      <c r="X19" s="48">
        <f>($T19*'Данные для расчета'!$B$2+'Данные для расчета'!$B$4*$V19)</f>
        <v>39261.333999999995</v>
      </c>
      <c r="Y19" s="48">
        <f>($T19*'Данные для расчета'!$B$3+'Данные для расчета'!$B$5*$V19)</f>
        <v>5608.7619999999997</v>
      </c>
      <c r="Z19" s="48">
        <f t="shared" ref="Z19:Z24" si="50">T19+U19+W19+X19+Y19</f>
        <v>101225.51599999999</v>
      </c>
      <c r="AA19" s="48">
        <f>ROUND(Z19*'Данные для расчета'!$B$7,2)</f>
        <v>22269.61</v>
      </c>
      <c r="AB19" s="48">
        <f t="shared" ref="AB19:AB24" si="51">Z19+AA19</f>
        <v>123495.12599999999</v>
      </c>
      <c r="AC19" s="48">
        <f>O19/'[1]Данные для расчета'!$B$12</f>
        <v>136.27127127127127</v>
      </c>
      <c r="AD19" s="48">
        <f t="shared" ref="AD19:AD24" si="52">P19-Q19+AE19</f>
        <v>0</v>
      </c>
      <c r="AE19" s="48">
        <f>Q19/'[1]Данные для расчета'!$B$12</f>
        <v>0</v>
      </c>
      <c r="AF19" s="48">
        <f t="shared" ref="AF19:AF24" si="53">R19</f>
        <v>1.3</v>
      </c>
      <c r="AG19" s="48">
        <f t="shared" ref="AG19:AJ24" si="54">AC19*$N19*$S19</f>
        <v>28071.881881881884</v>
      </c>
      <c r="AH19" s="48">
        <f t="shared" si="54"/>
        <v>0</v>
      </c>
      <c r="AI19" s="48">
        <f t="shared" si="54"/>
        <v>0</v>
      </c>
      <c r="AJ19" s="48">
        <f t="shared" si="54"/>
        <v>267.8</v>
      </c>
      <c r="AK19" s="48">
        <f>($AG19*'Данные для расчета'!$B$2+'Данные для расчета'!$B$4*$AI19)</f>
        <v>19650.317317317316</v>
      </c>
      <c r="AL19" s="48">
        <f>($AG19*'Данные для расчета'!$B$3+'Данные для расчета'!$B$5*$AI19)</f>
        <v>2807.1881881881886</v>
      </c>
      <c r="AM19" s="48">
        <f t="shared" si="15"/>
        <v>50797.187387387385</v>
      </c>
      <c r="AN19" s="48">
        <f>ROUND(AM19*'Данные для расчета'!$B$7,2)</f>
        <v>11175.38</v>
      </c>
      <c r="AO19" s="48">
        <f t="shared" si="16"/>
        <v>61972.567387387382</v>
      </c>
      <c r="AP19">
        <v>0.42</v>
      </c>
      <c r="AQ19">
        <f t="shared" ref="AQ19:AQ27" si="55">L19*AP19</f>
        <v>86.52</v>
      </c>
    </row>
    <row r="20" spans="1:43" ht="15" customHeight="1" x14ac:dyDescent="0.25">
      <c r="A20" s="46">
        <v>14</v>
      </c>
      <c r="B20" s="46" t="s">
        <v>218</v>
      </c>
      <c r="C20" s="46" t="s">
        <v>278</v>
      </c>
      <c r="D20" s="46"/>
      <c r="E20" s="46" t="s">
        <v>279</v>
      </c>
      <c r="F20" s="47" t="s">
        <v>281</v>
      </c>
      <c r="G20" s="46" t="s">
        <v>280</v>
      </c>
      <c r="H20" s="48" t="s">
        <v>33</v>
      </c>
      <c r="I20" s="48" t="s">
        <v>196</v>
      </c>
      <c r="J20" s="49">
        <v>1</v>
      </c>
      <c r="K20" s="49">
        <v>20</v>
      </c>
      <c r="L20" s="49">
        <f t="shared" ref="L20" si="56">K20*J20</f>
        <v>20</v>
      </c>
      <c r="M20" s="49">
        <v>1</v>
      </c>
      <c r="N20">
        <f t="shared" ref="N20" si="57">L20/M20</f>
        <v>20</v>
      </c>
      <c r="O20" s="48">
        <v>59.6</v>
      </c>
      <c r="P20" s="48">
        <v>5.51</v>
      </c>
      <c r="Q20" s="48">
        <v>3.32</v>
      </c>
      <c r="R20" s="48">
        <v>0</v>
      </c>
      <c r="S20" s="48">
        <v>0.75</v>
      </c>
      <c r="T20" s="48">
        <f t="shared" si="46"/>
        <v>894</v>
      </c>
      <c r="U20" s="48">
        <f t="shared" si="47"/>
        <v>82.649999999999991</v>
      </c>
      <c r="V20" s="48">
        <f t="shared" si="48"/>
        <v>49.8</v>
      </c>
      <c r="W20" s="48">
        <f t="shared" si="49"/>
        <v>0</v>
      </c>
      <c r="X20" s="48">
        <f>($T20*'Данные для расчета'!$B$2+'Данные для расчета'!$B$4*$V20)</f>
        <v>664.64400000000001</v>
      </c>
      <c r="Y20" s="48">
        <f>($T20*'Данные для расчета'!$B$3+'Данные для расчета'!$B$5*$V20)</f>
        <v>104.34</v>
      </c>
      <c r="Z20" s="48">
        <f t="shared" si="50"/>
        <v>1745.6339999999998</v>
      </c>
      <c r="AA20" s="48">
        <f>ROUND(Z20*'Данные для расчета'!$B$7,2)</f>
        <v>384.04</v>
      </c>
      <c r="AB20" s="48">
        <f t="shared" si="51"/>
        <v>2129.674</v>
      </c>
      <c r="AC20" s="48">
        <f>O20/'[1]Данные для расчета'!$B$12</f>
        <v>29.82982982982983</v>
      </c>
      <c r="AD20" s="48">
        <f t="shared" si="52"/>
        <v>3.8516616616616615</v>
      </c>
      <c r="AE20" s="48">
        <f>Q20/'[1]Данные для расчета'!$B$12</f>
        <v>1.6616616616616615</v>
      </c>
      <c r="AF20" s="48">
        <f t="shared" si="53"/>
        <v>0</v>
      </c>
      <c r="AG20" s="48">
        <f t="shared" ref="AG20" si="58">AC20*$N20*$S20</f>
        <v>447.44744744744742</v>
      </c>
      <c r="AH20" s="48">
        <f t="shared" ref="AH20" si="59">AD20*$N20*$S20</f>
        <v>57.774924924924925</v>
      </c>
      <c r="AI20" s="48">
        <f t="shared" ref="AI20" si="60">AE20*$N20*$S20</f>
        <v>24.924924924924923</v>
      </c>
      <c r="AJ20" s="48">
        <f t="shared" ref="AJ20" si="61">AF20*$N20*$S20</f>
        <v>0</v>
      </c>
      <c r="AK20" s="48">
        <f>($AG20*'Данные для расчета'!$B$2+'Данные для расчета'!$B$4*$AI20)</f>
        <v>332.65465465465462</v>
      </c>
      <c r="AL20" s="48">
        <f>($AG20*'Данные для расчета'!$B$3+'Данные для расчета'!$B$5*$AI20)</f>
        <v>52.222222222222221</v>
      </c>
      <c r="AM20" s="48">
        <f t="shared" ref="AM20" si="62">AG20+AH20+AJ20+AK20+AL20</f>
        <v>890.09924924924917</v>
      </c>
      <c r="AN20" s="48">
        <f>ROUND(AM20*'Данные для расчета'!$B$7,2)</f>
        <v>195.82</v>
      </c>
      <c r="AO20" s="48">
        <f t="shared" ref="AO20" si="63">AM20+AN20</f>
        <v>1085.9192492492491</v>
      </c>
      <c r="AP20">
        <v>0.08</v>
      </c>
      <c r="AQ20">
        <f t="shared" si="55"/>
        <v>1.6</v>
      </c>
    </row>
    <row r="21" spans="1:43" ht="15" customHeight="1" x14ac:dyDescent="0.25">
      <c r="A21" s="46">
        <v>14</v>
      </c>
      <c r="B21" s="46" t="s">
        <v>218</v>
      </c>
      <c r="C21" s="46" t="s">
        <v>219</v>
      </c>
      <c r="D21" s="46"/>
      <c r="E21" s="46" t="s">
        <v>67</v>
      </c>
      <c r="F21" s="47" t="s">
        <v>68</v>
      </c>
      <c r="G21" s="46" t="s">
        <v>69</v>
      </c>
      <c r="H21" s="48" t="s">
        <v>54</v>
      </c>
      <c r="I21" s="48" t="s">
        <v>196</v>
      </c>
      <c r="J21" s="49">
        <v>1</v>
      </c>
      <c r="K21" s="49">
        <v>20</v>
      </c>
      <c r="L21" s="49">
        <f t="shared" si="44"/>
        <v>20</v>
      </c>
      <c r="M21" s="49">
        <v>1</v>
      </c>
      <c r="N21">
        <f t="shared" si="45"/>
        <v>20</v>
      </c>
      <c r="O21" s="48">
        <v>521.51</v>
      </c>
      <c r="P21" s="48">
        <v>0</v>
      </c>
      <c r="Q21" s="48">
        <v>0</v>
      </c>
      <c r="R21" s="48">
        <v>1.3</v>
      </c>
      <c r="S21" s="48">
        <v>1</v>
      </c>
      <c r="T21" s="48">
        <f t="shared" si="46"/>
        <v>10430.200000000001</v>
      </c>
      <c r="U21" s="48">
        <f t="shared" si="47"/>
        <v>0</v>
      </c>
      <c r="V21" s="48">
        <f t="shared" si="48"/>
        <v>0</v>
      </c>
      <c r="W21" s="48">
        <f t="shared" si="49"/>
        <v>26</v>
      </c>
      <c r="X21" s="48">
        <f>($T21*'Данные для расчета'!$B$2+'Данные для расчета'!$B$4*$V21)</f>
        <v>7301.14</v>
      </c>
      <c r="Y21" s="48">
        <f>($T21*'Данные для расчета'!$B$3+'Данные для расчета'!$B$5*$V21)</f>
        <v>1043.0200000000002</v>
      </c>
      <c r="Z21" s="48">
        <f t="shared" si="50"/>
        <v>18800.36</v>
      </c>
      <c r="AA21" s="48">
        <f>ROUND(Z21*'Данные для расчета'!$B$7,2)</f>
        <v>4136.08</v>
      </c>
      <c r="AB21" s="48">
        <f t="shared" si="51"/>
        <v>22936.440000000002</v>
      </c>
      <c r="AC21" s="48">
        <f>O21/'[1]Данные для расчета'!$B$12</f>
        <v>261.01601601601601</v>
      </c>
      <c r="AD21" s="48">
        <f t="shared" si="52"/>
        <v>0</v>
      </c>
      <c r="AE21" s="48">
        <f>Q21/'[1]Данные для расчета'!$B$12</f>
        <v>0</v>
      </c>
      <c r="AF21" s="48">
        <f t="shared" si="53"/>
        <v>1.3</v>
      </c>
      <c r="AG21" s="48">
        <f t="shared" si="54"/>
        <v>5220.3203203203202</v>
      </c>
      <c r="AH21" s="48">
        <f t="shared" si="54"/>
        <v>0</v>
      </c>
      <c r="AI21" s="48">
        <f t="shared" si="54"/>
        <v>0</v>
      </c>
      <c r="AJ21" s="48">
        <f t="shared" si="54"/>
        <v>26</v>
      </c>
      <c r="AK21" s="48">
        <f>($AG21*'Данные для расчета'!$B$2+'Данные для расчета'!$B$4*$AI21)</f>
        <v>3654.2242242242237</v>
      </c>
      <c r="AL21" s="48">
        <f>($AG21*'Данные для расчета'!$B$3+'Данные для расчета'!$B$5*$AI21)</f>
        <v>522.03203203203202</v>
      </c>
      <c r="AM21" s="48">
        <f t="shared" si="15"/>
        <v>9422.5765765765755</v>
      </c>
      <c r="AN21" s="48">
        <f>ROUND(AM21*'Данные для расчета'!$B$7,2)</f>
        <v>2072.9699999999998</v>
      </c>
      <c r="AO21" s="48">
        <f t="shared" si="16"/>
        <v>11495.546576576575</v>
      </c>
      <c r="AP21">
        <v>0.7</v>
      </c>
      <c r="AQ21">
        <f t="shared" si="55"/>
        <v>14</v>
      </c>
    </row>
    <row r="22" spans="1:43" ht="15" customHeight="1" x14ac:dyDescent="0.25">
      <c r="A22" s="46">
        <v>15</v>
      </c>
      <c r="B22" s="46" t="s">
        <v>125</v>
      </c>
      <c r="C22" s="46" t="s">
        <v>220</v>
      </c>
      <c r="D22" s="46"/>
      <c r="E22" s="46" t="s">
        <v>57</v>
      </c>
      <c r="F22" s="47" t="s">
        <v>58</v>
      </c>
      <c r="G22" s="46" t="s">
        <v>59</v>
      </c>
      <c r="H22" s="48" t="s">
        <v>33</v>
      </c>
      <c r="I22" s="48" t="s">
        <v>196</v>
      </c>
      <c r="J22" s="49">
        <v>1</v>
      </c>
      <c r="K22" s="49">
        <v>25</v>
      </c>
      <c r="L22" s="49">
        <f t="shared" si="44"/>
        <v>25</v>
      </c>
      <c r="M22" s="49">
        <v>1</v>
      </c>
      <c r="N22">
        <f t="shared" si="45"/>
        <v>25</v>
      </c>
      <c r="O22" s="48">
        <v>125.39</v>
      </c>
      <c r="P22" s="48">
        <v>0</v>
      </c>
      <c r="Q22" s="48">
        <v>0</v>
      </c>
      <c r="R22" s="48">
        <v>0.06</v>
      </c>
      <c r="S22" s="48">
        <v>1</v>
      </c>
      <c r="T22" s="48">
        <f t="shared" si="46"/>
        <v>3134.75</v>
      </c>
      <c r="U22" s="48">
        <f t="shared" si="47"/>
        <v>0</v>
      </c>
      <c r="V22" s="48">
        <f t="shared" si="48"/>
        <v>0</v>
      </c>
      <c r="W22" s="48">
        <f t="shared" si="49"/>
        <v>1.5</v>
      </c>
      <c r="X22" s="48">
        <f>($T22*'Данные для расчета'!$B$2+'Данные для расчета'!$B$4*$V22)</f>
        <v>2194.3249999999998</v>
      </c>
      <c r="Y22" s="48">
        <f>($T22*'Данные для расчета'!$B$3+'Данные для расчета'!$B$5*$V22)</f>
        <v>313.47500000000002</v>
      </c>
      <c r="Z22" s="48">
        <f t="shared" si="50"/>
        <v>5644.05</v>
      </c>
      <c r="AA22" s="48">
        <f>ROUND(Z22*'Данные для расчета'!$B$7,2)</f>
        <v>1241.69</v>
      </c>
      <c r="AB22" s="48">
        <f t="shared" si="51"/>
        <v>6885.74</v>
      </c>
      <c r="AC22" s="48">
        <f>O22/'[1]Данные для расчета'!$B$12</f>
        <v>62.757757757757759</v>
      </c>
      <c r="AD22" s="48">
        <f t="shared" si="52"/>
        <v>0</v>
      </c>
      <c r="AE22" s="48">
        <f>Q22/'[1]Данные для расчета'!$B$12</f>
        <v>0</v>
      </c>
      <c r="AF22" s="48">
        <f t="shared" si="53"/>
        <v>0.06</v>
      </c>
      <c r="AG22" s="48">
        <f t="shared" si="54"/>
        <v>1568.9439439439439</v>
      </c>
      <c r="AH22" s="48">
        <f t="shared" si="54"/>
        <v>0</v>
      </c>
      <c r="AI22" s="48">
        <f t="shared" si="54"/>
        <v>0</v>
      </c>
      <c r="AJ22" s="48">
        <f t="shared" si="54"/>
        <v>1.5</v>
      </c>
      <c r="AK22" s="48">
        <f>($AG22*'Данные для расчета'!$B$2+'Данные для расчета'!$B$4*$AI22)</f>
        <v>1098.2607607607606</v>
      </c>
      <c r="AL22" s="48">
        <f>($AG22*'Данные для расчета'!$B$3+'Данные для расчета'!$B$5*$AI22)</f>
        <v>156.8943943943944</v>
      </c>
      <c r="AM22" s="48">
        <f t="shared" si="15"/>
        <v>2825.599099099099</v>
      </c>
      <c r="AN22" s="48">
        <f>ROUND(AM22*'Данные для расчета'!$B$7,2)</f>
        <v>621.63</v>
      </c>
      <c r="AO22" s="48">
        <f t="shared" si="16"/>
        <v>3447.2290990990991</v>
      </c>
      <c r="AP22">
        <v>0.18</v>
      </c>
      <c r="AQ22">
        <f t="shared" si="55"/>
        <v>4.5</v>
      </c>
    </row>
    <row r="23" spans="1:43" ht="15" customHeight="1" x14ac:dyDescent="0.25">
      <c r="A23" s="46">
        <v>15</v>
      </c>
      <c r="B23" s="46" t="s">
        <v>125</v>
      </c>
      <c r="C23" s="46" t="s">
        <v>220</v>
      </c>
      <c r="D23" s="46"/>
      <c r="E23" s="46" t="s">
        <v>60</v>
      </c>
      <c r="F23" s="47" t="s">
        <v>61</v>
      </c>
      <c r="G23" s="46" t="s">
        <v>62</v>
      </c>
      <c r="H23" s="48" t="s">
        <v>221</v>
      </c>
      <c r="I23" s="48" t="s">
        <v>196</v>
      </c>
      <c r="J23" s="49">
        <v>1</v>
      </c>
      <c r="K23" s="49">
        <v>25</v>
      </c>
      <c r="L23" s="49">
        <f t="shared" si="44"/>
        <v>25</v>
      </c>
      <c r="M23" s="49">
        <v>1</v>
      </c>
      <c r="N23">
        <f t="shared" si="45"/>
        <v>25</v>
      </c>
      <c r="O23" s="48">
        <v>334.38</v>
      </c>
      <c r="P23" s="48">
        <v>0</v>
      </c>
      <c r="Q23" s="48">
        <v>0</v>
      </c>
      <c r="R23" s="48">
        <v>67.05</v>
      </c>
      <c r="S23" s="48">
        <v>1</v>
      </c>
      <c r="T23" s="48">
        <f t="shared" si="46"/>
        <v>8359.5</v>
      </c>
      <c r="U23" s="48">
        <f t="shared" si="47"/>
        <v>0</v>
      </c>
      <c r="V23" s="48">
        <f t="shared" si="48"/>
        <v>0</v>
      </c>
      <c r="W23" s="48">
        <f t="shared" si="49"/>
        <v>1676.25</v>
      </c>
      <c r="X23" s="48">
        <f>($T23*'Данные для расчета'!$B$2+'Данные для расчета'!$B$4*$V23)</f>
        <v>5851.65</v>
      </c>
      <c r="Y23" s="48">
        <f>($T23*'Данные для расчета'!$B$3+'Данные для расчета'!$B$5*$V23)</f>
        <v>835.95</v>
      </c>
      <c r="Z23" s="48">
        <f t="shared" si="50"/>
        <v>16723.349999999999</v>
      </c>
      <c r="AA23" s="48">
        <f>ROUND(Z23*'Данные для расчета'!$B$7,2)</f>
        <v>3679.14</v>
      </c>
      <c r="AB23" s="48">
        <f t="shared" si="51"/>
        <v>20402.489999999998</v>
      </c>
      <c r="AC23" s="48">
        <f>O23/'[1]Данные для расчета'!$B$12</f>
        <v>167.35735735735736</v>
      </c>
      <c r="AD23" s="48">
        <f t="shared" si="52"/>
        <v>0</v>
      </c>
      <c r="AE23" s="48">
        <f>Q23/'[1]Данные для расчета'!$B$12</f>
        <v>0</v>
      </c>
      <c r="AF23" s="48">
        <f t="shared" si="53"/>
        <v>67.05</v>
      </c>
      <c r="AG23" s="48">
        <f t="shared" si="54"/>
        <v>4183.933933933934</v>
      </c>
      <c r="AH23" s="48">
        <f t="shared" si="54"/>
        <v>0</v>
      </c>
      <c r="AI23" s="48">
        <f t="shared" si="54"/>
        <v>0</v>
      </c>
      <c r="AJ23" s="48">
        <f t="shared" si="54"/>
        <v>1676.25</v>
      </c>
      <c r="AK23" s="48">
        <f>($AG23*'Данные для расчета'!$B$2+'Данные для расчета'!$B$4*$AI23)</f>
        <v>2928.7537537537537</v>
      </c>
      <c r="AL23" s="48">
        <f>($AG23*'Данные для расчета'!$B$3+'Данные для расчета'!$B$5*$AI23)</f>
        <v>418.39339339339341</v>
      </c>
      <c r="AM23" s="48">
        <f t="shared" si="15"/>
        <v>9207.3310810810817</v>
      </c>
      <c r="AN23" s="48">
        <f>ROUND(AM23*'Данные для расчета'!$B$7,2)</f>
        <v>2025.61</v>
      </c>
      <c r="AO23" s="48">
        <f t="shared" si="16"/>
        <v>11232.941081081082</v>
      </c>
      <c r="AP23">
        <v>0.48</v>
      </c>
      <c r="AQ23">
        <f t="shared" si="55"/>
        <v>12</v>
      </c>
    </row>
    <row r="24" spans="1:43" ht="15" customHeight="1" x14ac:dyDescent="0.25">
      <c r="A24" s="46" t="s">
        <v>290</v>
      </c>
      <c r="B24" s="46" t="s">
        <v>127</v>
      </c>
      <c r="C24" s="46" t="s">
        <v>222</v>
      </c>
      <c r="D24" s="46"/>
      <c r="E24" s="46" t="s">
        <v>95</v>
      </c>
      <c r="F24" s="47" t="s">
        <v>55</v>
      </c>
      <c r="G24" s="46" t="s">
        <v>56</v>
      </c>
      <c r="H24" s="48" t="s">
        <v>33</v>
      </c>
      <c r="I24" s="48" t="s">
        <v>196</v>
      </c>
      <c r="J24" s="49">
        <v>2</v>
      </c>
      <c r="K24" s="49">
        <f>169+5</f>
        <v>174</v>
      </c>
      <c r="L24" s="49">
        <f t="shared" si="44"/>
        <v>348</v>
      </c>
      <c r="M24" s="49">
        <v>10</v>
      </c>
      <c r="N24">
        <f t="shared" si="45"/>
        <v>34.799999999999997</v>
      </c>
      <c r="O24" s="48">
        <v>250.79</v>
      </c>
      <c r="P24" s="48">
        <v>0</v>
      </c>
      <c r="Q24" s="48">
        <v>0</v>
      </c>
      <c r="R24" s="48">
        <v>3.57</v>
      </c>
      <c r="S24" s="48">
        <v>1</v>
      </c>
      <c r="T24" s="48">
        <f t="shared" si="46"/>
        <v>8727.4919999999984</v>
      </c>
      <c r="U24" s="48">
        <f t="shared" si="47"/>
        <v>0</v>
      </c>
      <c r="V24" s="48">
        <f t="shared" si="48"/>
        <v>0</v>
      </c>
      <c r="W24" s="48">
        <f t="shared" si="49"/>
        <v>124.23599999999999</v>
      </c>
      <c r="X24" s="48">
        <f>($T24*'Данные для расчета'!$B$2+'Данные для расчета'!$B$4*$V24)</f>
        <v>6109.2443999999987</v>
      </c>
      <c r="Y24" s="48">
        <f>($T24*'Данные для расчета'!$B$3+'Данные для расчета'!$B$5*$V24)</f>
        <v>872.74919999999986</v>
      </c>
      <c r="Z24" s="48">
        <f t="shared" si="50"/>
        <v>15833.721599999999</v>
      </c>
      <c r="AA24" s="48">
        <f>ROUND(Z24*'Данные для расчета'!$B$7,2)</f>
        <v>3483.42</v>
      </c>
      <c r="AB24" s="48">
        <f t="shared" si="51"/>
        <v>19317.141599999999</v>
      </c>
      <c r="AC24" s="48">
        <f>O24/'[1]Данные для расчета'!$B$12</f>
        <v>125.52052052052052</v>
      </c>
      <c r="AD24" s="48">
        <f t="shared" si="52"/>
        <v>0</v>
      </c>
      <c r="AE24" s="48">
        <f>Q24/'[1]Данные для расчета'!$B$12</f>
        <v>0</v>
      </c>
      <c r="AF24" s="48">
        <f t="shared" si="53"/>
        <v>3.57</v>
      </c>
      <c r="AG24" s="48">
        <f t="shared" si="54"/>
        <v>4368.1141141141134</v>
      </c>
      <c r="AH24" s="48">
        <f t="shared" si="54"/>
        <v>0</v>
      </c>
      <c r="AI24" s="48">
        <f t="shared" si="54"/>
        <v>0</v>
      </c>
      <c r="AJ24" s="48">
        <f t="shared" si="54"/>
        <v>124.23599999999999</v>
      </c>
      <c r="AK24" s="48">
        <f>($AG24*'Данные для расчета'!$B$2+'Данные для расчета'!$B$4*$AI24)</f>
        <v>3057.6798798798791</v>
      </c>
      <c r="AL24" s="48">
        <f>($AG24*'Данные для расчета'!$B$3+'Данные для расчета'!$B$5*$AI24)</f>
        <v>436.81141141141137</v>
      </c>
      <c r="AM24" s="48">
        <f t="shared" si="15"/>
        <v>7986.8414054054037</v>
      </c>
      <c r="AN24" s="48">
        <f>ROUND(AM24*'Данные для расчета'!$B$7,2)</f>
        <v>1757.11</v>
      </c>
      <c r="AO24" s="48">
        <f t="shared" si="16"/>
        <v>9743.9514054054034</v>
      </c>
      <c r="AP24">
        <v>0.36</v>
      </c>
      <c r="AQ24">
        <f t="shared" si="55"/>
        <v>125.28</v>
      </c>
    </row>
    <row r="25" spans="1:43" ht="15" customHeight="1" x14ac:dyDescent="0.25">
      <c r="A25" s="46">
        <v>19.36</v>
      </c>
      <c r="B25" s="46" t="s">
        <v>129</v>
      </c>
      <c r="C25" s="46" t="s">
        <v>223</v>
      </c>
      <c r="D25" s="46"/>
      <c r="E25" s="46" t="s">
        <v>224</v>
      </c>
      <c r="F25" s="47" t="s">
        <v>131</v>
      </c>
      <c r="G25" s="46" t="s">
        <v>225</v>
      </c>
      <c r="H25" s="48" t="s">
        <v>33</v>
      </c>
      <c r="I25" s="48" t="s">
        <v>196</v>
      </c>
      <c r="J25" s="49">
        <v>2</v>
      </c>
      <c r="K25" s="49">
        <f>87+14</f>
        <v>101</v>
      </c>
      <c r="L25" s="49">
        <f t="shared" si="44"/>
        <v>202</v>
      </c>
      <c r="M25" s="49">
        <v>1</v>
      </c>
      <c r="N25">
        <f t="shared" si="45"/>
        <v>202</v>
      </c>
      <c r="O25" s="48">
        <v>167.19</v>
      </c>
      <c r="P25" s="48">
        <v>0</v>
      </c>
      <c r="Q25" s="48">
        <v>0</v>
      </c>
      <c r="R25" s="48">
        <v>50.26</v>
      </c>
      <c r="S25" s="48">
        <v>1</v>
      </c>
      <c r="T25" s="48">
        <f t="shared" ref="T25" si="64">O25*N25*S25</f>
        <v>33772.379999999997</v>
      </c>
      <c r="U25" s="48">
        <f t="shared" ref="U25" si="65">P25*N25*S25</f>
        <v>0</v>
      </c>
      <c r="V25" s="48">
        <f t="shared" ref="V25" si="66">Q25*N25*S25</f>
        <v>0</v>
      </c>
      <c r="W25" s="48">
        <f t="shared" ref="W25" si="67">R25*N25</f>
        <v>10152.52</v>
      </c>
      <c r="X25" s="48">
        <f>($T25*'Данные для расчета'!$B$2+'Данные для расчета'!$B$4*$V25)</f>
        <v>23640.665999999997</v>
      </c>
      <c r="Y25" s="48">
        <f>($T25*'Данные для расчета'!$B$3+'Данные для расчета'!$B$5*$V25)</f>
        <v>3377.2379999999998</v>
      </c>
      <c r="Z25" s="48">
        <f t="shared" ref="Z25" si="68">T25+U25+W25+X25+Y25</f>
        <v>70942.803999999989</v>
      </c>
      <c r="AA25" s="48">
        <f>ROUND(Z25*'Данные для расчета'!$B$7,2)</f>
        <v>15607.42</v>
      </c>
      <c r="AB25" s="48">
        <f t="shared" ref="AB25" si="69">Z25+AA25</f>
        <v>86550.223999999987</v>
      </c>
      <c r="AC25" s="48">
        <f>O25/'[1]Данные для расчета'!$B$12</f>
        <v>83.678678678678679</v>
      </c>
      <c r="AD25" s="48">
        <f t="shared" ref="AD25" si="70">P25-Q25+AE25</f>
        <v>0</v>
      </c>
      <c r="AE25" s="48">
        <f>Q25/'[1]Данные для расчета'!$B$12</f>
        <v>0</v>
      </c>
      <c r="AF25" s="48">
        <f t="shared" ref="AF25" si="71">R25</f>
        <v>50.26</v>
      </c>
      <c r="AG25" s="48">
        <f t="shared" ref="AG25:AJ25" si="72">AC25*$N25*$S25</f>
        <v>16903.093093093092</v>
      </c>
      <c r="AH25" s="48">
        <f t="shared" si="72"/>
        <v>0</v>
      </c>
      <c r="AI25" s="48">
        <f t="shared" si="72"/>
        <v>0</v>
      </c>
      <c r="AJ25" s="48">
        <f t="shared" si="72"/>
        <v>10152.52</v>
      </c>
      <c r="AK25" s="48">
        <f>($AG25*'Данные для расчета'!$B$2+'Данные для расчета'!$B$4*$AI25)</f>
        <v>11832.165165165163</v>
      </c>
      <c r="AL25" s="48">
        <f>($AG25*'Данные для расчета'!$B$3+'Данные для расчета'!$B$5*$AI25)</f>
        <v>1690.3093093093094</v>
      </c>
      <c r="AM25" s="48">
        <f t="shared" si="15"/>
        <v>40578.087567567571</v>
      </c>
      <c r="AN25" s="48">
        <f>ROUND(AM25*'Данные для расчета'!$B$7,2)</f>
        <v>8927.18</v>
      </c>
      <c r="AO25" s="48">
        <f t="shared" si="16"/>
        <v>49505.267567567571</v>
      </c>
      <c r="AP25">
        <v>0.24</v>
      </c>
      <c r="AQ25">
        <f t="shared" si="55"/>
        <v>48.48</v>
      </c>
    </row>
    <row r="26" spans="1:43" ht="15" customHeight="1" x14ac:dyDescent="0.25">
      <c r="A26" s="46">
        <v>20</v>
      </c>
      <c r="B26" s="46" t="s">
        <v>132</v>
      </c>
      <c r="C26" s="46" t="s">
        <v>133</v>
      </c>
      <c r="D26" s="46"/>
      <c r="E26" s="46" t="s">
        <v>224</v>
      </c>
      <c r="F26" s="47" t="s">
        <v>131</v>
      </c>
      <c r="G26" s="46" t="s">
        <v>225</v>
      </c>
      <c r="H26" s="48" t="s">
        <v>33</v>
      </c>
      <c r="I26" s="48" t="s">
        <v>196</v>
      </c>
      <c r="J26" s="49">
        <v>2</v>
      </c>
      <c r="K26" s="49">
        <v>4</v>
      </c>
      <c r="L26" s="49">
        <f t="shared" si="44"/>
        <v>8</v>
      </c>
      <c r="M26" s="49">
        <v>1</v>
      </c>
      <c r="N26">
        <f t="shared" si="45"/>
        <v>8</v>
      </c>
      <c r="O26" s="48">
        <v>167.19</v>
      </c>
      <c r="P26" s="48">
        <v>0</v>
      </c>
      <c r="Q26" s="48">
        <v>0</v>
      </c>
      <c r="R26" s="48">
        <v>50.26</v>
      </c>
      <c r="S26" s="48">
        <v>1</v>
      </c>
      <c r="T26" s="48">
        <f t="shared" ref="T26:T28" si="73">O26*N26*S26</f>
        <v>1337.52</v>
      </c>
      <c r="U26" s="48">
        <f t="shared" ref="U26:U28" si="74">P26*N26*S26</f>
        <v>0</v>
      </c>
      <c r="V26" s="48">
        <f t="shared" ref="V26:V28" si="75">Q26*N26*S26</f>
        <v>0</v>
      </c>
      <c r="W26" s="48">
        <f t="shared" ref="W26:W28" si="76">R26*N26</f>
        <v>402.08</v>
      </c>
      <c r="X26" s="48">
        <f>($T26*'Данные для расчета'!$B$2+'Данные для расчета'!$B$4*$V26)</f>
        <v>936.2639999999999</v>
      </c>
      <c r="Y26" s="48">
        <f>($T26*'Данные для расчета'!$B$3+'Данные для расчета'!$B$5*$V26)</f>
        <v>133.75200000000001</v>
      </c>
      <c r="Z26" s="48">
        <f t="shared" ref="Z26:Z28" si="77">T26+U26+W26+X26+Y26</f>
        <v>2809.6159999999995</v>
      </c>
      <c r="AA26" s="48">
        <f>ROUND(Z26*'Данные для расчета'!$B$7,2)</f>
        <v>618.12</v>
      </c>
      <c r="AB26" s="48">
        <f t="shared" ref="AB26:AB28" si="78">Z26+AA26</f>
        <v>3427.7359999999994</v>
      </c>
      <c r="AC26" s="48">
        <f>O26/'[1]Данные для расчета'!$B$12</f>
        <v>83.678678678678679</v>
      </c>
      <c r="AD26" s="48">
        <f t="shared" ref="AD26:AD28" si="79">P26-Q26+AE26</f>
        <v>0</v>
      </c>
      <c r="AE26" s="48">
        <f>Q26/'[1]Данные для расчета'!$B$12</f>
        <v>0</v>
      </c>
      <c r="AF26" s="48">
        <f t="shared" ref="AF26:AF28" si="80">R26</f>
        <v>50.26</v>
      </c>
      <c r="AG26" s="48">
        <f t="shared" ref="AG26:AG28" si="81">AC26*$N26*$S26</f>
        <v>669.42942942942943</v>
      </c>
      <c r="AH26" s="48">
        <f t="shared" ref="AH26:AH28" si="82">AD26*$N26*$S26</f>
        <v>0</v>
      </c>
      <c r="AI26" s="48">
        <f t="shared" ref="AI26:AI28" si="83">AE26*$N26*$S26</f>
        <v>0</v>
      </c>
      <c r="AJ26" s="48">
        <f t="shared" ref="AJ26:AJ28" si="84">AF26*$N26*$S26</f>
        <v>402.08</v>
      </c>
      <c r="AK26" s="48">
        <f>($AG26*'Данные для расчета'!$B$2+'Данные для расчета'!$B$4*$AI26)</f>
        <v>468.60060060060056</v>
      </c>
      <c r="AL26" s="48">
        <f>($AG26*'Данные для расчета'!$B$3+'Данные для расчета'!$B$5*$AI26)</f>
        <v>66.942942942942949</v>
      </c>
      <c r="AM26" s="48">
        <f t="shared" si="15"/>
        <v>1607.0529729729728</v>
      </c>
      <c r="AN26" s="48">
        <f>ROUND(AM26*'Данные для расчета'!$B$7,2)</f>
        <v>353.55</v>
      </c>
      <c r="AO26" s="48">
        <f t="shared" si="16"/>
        <v>1960.6029729729728</v>
      </c>
      <c r="AP26">
        <v>0.24</v>
      </c>
      <c r="AQ26">
        <f t="shared" si="55"/>
        <v>1.92</v>
      </c>
    </row>
    <row r="27" spans="1:43" ht="15" customHeight="1" x14ac:dyDescent="0.25">
      <c r="A27" s="46" t="s">
        <v>287</v>
      </c>
      <c r="B27" s="46" t="s">
        <v>129</v>
      </c>
      <c r="C27" s="46" t="s">
        <v>226</v>
      </c>
      <c r="D27" s="46"/>
      <c r="E27" s="46" t="s">
        <v>224</v>
      </c>
      <c r="F27" s="47" t="s">
        <v>136</v>
      </c>
      <c r="G27" s="46" t="s">
        <v>227</v>
      </c>
      <c r="H27" s="48" t="s">
        <v>33</v>
      </c>
      <c r="I27" s="48" t="s">
        <v>196</v>
      </c>
      <c r="J27" s="49">
        <v>2</v>
      </c>
      <c r="K27" s="49">
        <f>52+2</f>
        <v>54</v>
      </c>
      <c r="L27" s="49">
        <f t="shared" si="44"/>
        <v>108</v>
      </c>
      <c r="M27" s="49">
        <v>1</v>
      </c>
      <c r="N27">
        <f t="shared" si="45"/>
        <v>108</v>
      </c>
      <c r="O27" s="30">
        <v>181.13</v>
      </c>
      <c r="P27" s="48">
        <v>0</v>
      </c>
      <c r="Q27" s="48">
        <v>0</v>
      </c>
      <c r="R27" s="72">
        <v>66.959999999999994</v>
      </c>
      <c r="S27" s="48">
        <v>1</v>
      </c>
      <c r="T27" s="48">
        <f t="shared" si="73"/>
        <v>19562.04</v>
      </c>
      <c r="U27" s="48">
        <f t="shared" si="74"/>
        <v>0</v>
      </c>
      <c r="V27" s="48">
        <f t="shared" si="75"/>
        <v>0</v>
      </c>
      <c r="W27" s="48">
        <f t="shared" si="76"/>
        <v>7231.6799999999994</v>
      </c>
      <c r="X27" s="48">
        <f>($T27*'Данные для расчета'!$B$2+'Данные для расчета'!$B$4*$V27)</f>
        <v>13693.428</v>
      </c>
      <c r="Y27" s="48">
        <f>($T27*'Данные для расчета'!$B$3+'Данные для расчета'!$B$5*$V27)</f>
        <v>1956.2040000000002</v>
      </c>
      <c r="Z27" s="48">
        <f t="shared" si="77"/>
        <v>42443.351999999999</v>
      </c>
      <c r="AA27" s="48">
        <f>ROUND(Z27*'Данные для расчета'!$B$7,2)</f>
        <v>9337.5400000000009</v>
      </c>
      <c r="AB27" s="48">
        <f t="shared" si="78"/>
        <v>51780.892</v>
      </c>
      <c r="AC27" s="48">
        <f>O27/'[1]Данные для расчета'!$B$12</f>
        <v>90.65565565565565</v>
      </c>
      <c r="AD27" s="48">
        <f t="shared" si="79"/>
        <v>0</v>
      </c>
      <c r="AE27" s="48">
        <f>Q27/'[1]Данные для расчета'!$B$12</f>
        <v>0</v>
      </c>
      <c r="AF27" s="48">
        <f t="shared" si="80"/>
        <v>66.959999999999994</v>
      </c>
      <c r="AG27" s="48">
        <f t="shared" si="81"/>
        <v>9790.8108108108099</v>
      </c>
      <c r="AH27" s="48">
        <f t="shared" si="82"/>
        <v>0</v>
      </c>
      <c r="AI27" s="48">
        <f t="shared" si="83"/>
        <v>0</v>
      </c>
      <c r="AJ27" s="48">
        <f t="shared" si="84"/>
        <v>7231.6799999999994</v>
      </c>
      <c r="AK27" s="48">
        <f>($AG27*'Данные для расчета'!$B$2+'Данные для расчета'!$B$4*$AI27)</f>
        <v>6853.5675675675666</v>
      </c>
      <c r="AL27" s="48">
        <f>($AG27*'Данные для расчета'!$B$3+'Данные для расчета'!$B$5*$AI27)</f>
        <v>979.08108108108104</v>
      </c>
      <c r="AM27" s="48">
        <f t="shared" si="15"/>
        <v>24855.139459459457</v>
      </c>
      <c r="AN27" s="48">
        <f>ROUND(AM27*'Данные для расчета'!$B$7,2)</f>
        <v>5468.13</v>
      </c>
      <c r="AO27" s="48">
        <f t="shared" si="16"/>
        <v>30323.269459459458</v>
      </c>
      <c r="AP27">
        <v>0.26</v>
      </c>
      <c r="AQ27">
        <f t="shared" si="55"/>
        <v>28.080000000000002</v>
      </c>
    </row>
    <row r="28" spans="1:43" x14ac:dyDescent="0.25">
      <c r="A28" s="49">
        <v>23</v>
      </c>
      <c r="B28" s="49" t="s">
        <v>138</v>
      </c>
      <c r="C28" s="49" t="s">
        <v>228</v>
      </c>
      <c r="D28"/>
      <c r="E28" s="70" t="s">
        <v>229</v>
      </c>
      <c r="F28" s="71" t="s">
        <v>230</v>
      </c>
      <c r="G28" s="46" t="s">
        <v>231</v>
      </c>
      <c r="H28" s="48" t="s">
        <v>33</v>
      </c>
      <c r="I28" s="48" t="s">
        <v>196</v>
      </c>
      <c r="J28" s="49">
        <v>2</v>
      </c>
      <c r="K28" s="49">
        <v>4</v>
      </c>
      <c r="L28" s="49">
        <f t="shared" si="44"/>
        <v>8</v>
      </c>
      <c r="M28" s="49">
        <v>1</v>
      </c>
      <c r="N28">
        <f t="shared" si="45"/>
        <v>8</v>
      </c>
      <c r="O28" s="30">
        <v>376.19</v>
      </c>
      <c r="P28" s="30">
        <v>0</v>
      </c>
      <c r="Q28" s="30">
        <v>0</v>
      </c>
      <c r="R28" s="72">
        <v>50.14</v>
      </c>
      <c r="S28" s="48">
        <v>1</v>
      </c>
      <c r="T28" s="48">
        <f t="shared" si="73"/>
        <v>3009.52</v>
      </c>
      <c r="U28" s="48">
        <f t="shared" si="74"/>
        <v>0</v>
      </c>
      <c r="V28" s="48">
        <f t="shared" si="75"/>
        <v>0</v>
      </c>
      <c r="W28" s="48">
        <f t="shared" si="76"/>
        <v>401.12</v>
      </c>
      <c r="X28" s="48">
        <f>($T28*'Данные для расчета'!$B$2+'Данные для расчета'!$B$4*$V28)</f>
        <v>2106.6639999999998</v>
      </c>
      <c r="Y28" s="48">
        <f>($T28*'Данные для расчета'!$B$3+'Данные для расчета'!$B$5*$V28)</f>
        <v>300.952</v>
      </c>
      <c r="Z28" s="48">
        <f t="shared" si="77"/>
        <v>5818.2560000000003</v>
      </c>
      <c r="AA28" s="48">
        <f>ROUND(Z28*'Данные для расчета'!$B$7,2)</f>
        <v>1280.02</v>
      </c>
      <c r="AB28" s="48">
        <f t="shared" si="78"/>
        <v>7098.2759999999998</v>
      </c>
      <c r="AC28" s="48">
        <f>O28/'[1]Данные для расчета'!$B$12</f>
        <v>188.28328328328328</v>
      </c>
      <c r="AD28" s="48">
        <f t="shared" si="79"/>
        <v>0</v>
      </c>
      <c r="AE28" s="48">
        <f>Q28/'[1]Данные для расчета'!$B$12</f>
        <v>0</v>
      </c>
      <c r="AF28" s="48">
        <f t="shared" si="80"/>
        <v>50.14</v>
      </c>
      <c r="AG28" s="48">
        <f t="shared" si="81"/>
        <v>1506.2662662662663</v>
      </c>
      <c r="AH28" s="48">
        <f t="shared" si="82"/>
        <v>0</v>
      </c>
      <c r="AI28" s="48">
        <f t="shared" si="83"/>
        <v>0</v>
      </c>
      <c r="AJ28" s="48">
        <f t="shared" si="84"/>
        <v>401.12</v>
      </c>
      <c r="AK28" s="48">
        <f>($AG28*'Данные для расчета'!$B$2+'Данные для расчета'!$B$4*$AI28)</f>
        <v>1054.3863863863862</v>
      </c>
      <c r="AL28" s="48">
        <f>($AG28*'Данные для расчета'!$B$3+'Данные для расчета'!$B$5*$AI28)</f>
        <v>150.62662662662663</v>
      </c>
      <c r="AM28" s="48">
        <f t="shared" si="15"/>
        <v>3112.3992792792792</v>
      </c>
      <c r="AN28" s="48">
        <f>ROUND(AM28*'Данные для расчета'!$B$7,2)</f>
        <v>684.73</v>
      </c>
      <c r="AO28" s="48">
        <f t="shared" si="16"/>
        <v>3797.1292792792792</v>
      </c>
    </row>
    <row r="29" spans="1:43" ht="15" customHeight="1" x14ac:dyDescent="0.25">
      <c r="A29" s="2">
        <v>25</v>
      </c>
      <c r="B29" s="2" t="s">
        <v>143</v>
      </c>
      <c r="C29" s="2" t="s">
        <v>144</v>
      </c>
      <c r="D29" s="2"/>
      <c r="E29" s="2" t="s">
        <v>51</v>
      </c>
      <c r="F29" s="2" t="s">
        <v>52</v>
      </c>
      <c r="G29" s="2" t="s">
        <v>53</v>
      </c>
      <c r="H29" s="13" t="s">
        <v>54</v>
      </c>
      <c r="I29" s="13"/>
      <c r="J29" s="14">
        <v>1</v>
      </c>
      <c r="K29" s="14">
        <v>10</v>
      </c>
      <c r="L29" s="14">
        <f t="shared" si="44"/>
        <v>10</v>
      </c>
      <c r="M29" s="14">
        <v>1</v>
      </c>
      <c r="N29" s="1">
        <f t="shared" si="45"/>
        <v>10</v>
      </c>
      <c r="O29" s="13">
        <v>181.13</v>
      </c>
      <c r="P29" s="13">
        <v>0</v>
      </c>
      <c r="Q29" s="13">
        <v>0</v>
      </c>
      <c r="R29" s="13">
        <v>16.73</v>
      </c>
      <c r="S29" s="27">
        <v>1</v>
      </c>
      <c r="T29" s="27">
        <f>O29*N29*S29</f>
        <v>1811.3</v>
      </c>
      <c r="U29" s="27">
        <f>P29*N29*S29</f>
        <v>0</v>
      </c>
      <c r="V29" s="27">
        <f>Q29*N29*S29</f>
        <v>0</v>
      </c>
      <c r="W29" s="13">
        <f>R29*N29</f>
        <v>167.3</v>
      </c>
      <c r="X29" s="48">
        <f>($T29*'Данные для расчета'!$B$2+'Данные для расчета'!$B$4*$V29)</f>
        <v>1267.9099999999999</v>
      </c>
      <c r="Y29" s="48">
        <f>($T29*'Данные для расчета'!$B$3+'Данные для расчета'!$B$5*$V29)</f>
        <v>181.13</v>
      </c>
      <c r="Z29" s="13">
        <f>T29+U29+W29+X29+Y29</f>
        <v>3427.64</v>
      </c>
      <c r="AA29" s="48">
        <f>ROUND(Z29*'Данные для расчета'!$B$7,2)</f>
        <v>754.08</v>
      </c>
      <c r="AB29" s="13">
        <f>Z29+AA29</f>
        <v>4181.72</v>
      </c>
      <c r="AC29" s="13">
        <f>O29/'Данные для расчета'!$B$12</f>
        <v>90.65565565565565</v>
      </c>
      <c r="AD29" s="13">
        <f>P29-Q29+AE29</f>
        <v>0</v>
      </c>
      <c r="AE29" s="13">
        <f>Q29/'Данные для расчета'!$B$12</f>
        <v>0</v>
      </c>
      <c r="AF29" s="13">
        <f>R29</f>
        <v>16.73</v>
      </c>
      <c r="AG29" s="27">
        <f t="shared" ref="AG29:AJ30" si="85">AC29*$N29*$S29</f>
        <v>906.55655655655653</v>
      </c>
      <c r="AH29" s="27">
        <f t="shared" si="85"/>
        <v>0</v>
      </c>
      <c r="AI29" s="27">
        <f t="shared" si="85"/>
        <v>0</v>
      </c>
      <c r="AJ29" s="27">
        <f t="shared" si="85"/>
        <v>167.3</v>
      </c>
      <c r="AK29" s="48">
        <f>($AG29*'Данные для расчета'!$B$2+'Данные для расчета'!$B$4*$AI29)</f>
        <v>634.58958958958954</v>
      </c>
      <c r="AL29" s="48">
        <f>($AG29*'Данные для расчета'!$B$3+'Данные для расчета'!$B$5*$AI29)</f>
        <v>90.655655655655664</v>
      </c>
      <c r="AM29" s="48">
        <f t="shared" si="15"/>
        <v>1799.1018018018017</v>
      </c>
      <c r="AN29" s="48">
        <f>ROUND(AM29*'Данные для расчета'!$B$7,2)</f>
        <v>395.8</v>
      </c>
      <c r="AO29" s="48">
        <f t="shared" si="16"/>
        <v>2194.9018018018019</v>
      </c>
      <c r="AP29" s="1">
        <v>0.26</v>
      </c>
      <c r="AQ29" s="29">
        <f>L29*AP29</f>
        <v>2.6</v>
      </c>
    </row>
    <row r="30" spans="1:43" ht="34.5" customHeight="1" x14ac:dyDescent="0.25">
      <c r="A30" s="2">
        <v>28</v>
      </c>
      <c r="B30" s="15" t="s">
        <v>73</v>
      </c>
      <c r="C30" s="15" t="s">
        <v>74</v>
      </c>
      <c r="D30" s="24"/>
      <c r="E30" s="2" t="s">
        <v>79</v>
      </c>
      <c r="F30" t="s">
        <v>291</v>
      </c>
      <c r="G30" s="2" t="s">
        <v>292</v>
      </c>
      <c r="H30" s="13" t="s">
        <v>33</v>
      </c>
      <c r="I30" s="13" t="s">
        <v>81</v>
      </c>
      <c r="J30" s="23">
        <v>1</v>
      </c>
      <c r="K30" s="14">
        <v>2</v>
      </c>
      <c r="L30" s="14">
        <f t="shared" si="44"/>
        <v>2</v>
      </c>
      <c r="M30" s="14">
        <v>1</v>
      </c>
      <c r="N30" s="1">
        <f t="shared" si="45"/>
        <v>2</v>
      </c>
      <c r="O30" s="13">
        <v>116.69</v>
      </c>
      <c r="P30" s="13">
        <v>0</v>
      </c>
      <c r="Q30" s="13">
        <v>0</v>
      </c>
      <c r="R30" s="13">
        <v>8.89</v>
      </c>
      <c r="S30" s="27">
        <v>1</v>
      </c>
      <c r="T30" s="27">
        <f>O30*N30*S30</f>
        <v>233.38</v>
      </c>
      <c r="U30" s="27">
        <f>P30*N30*S30</f>
        <v>0</v>
      </c>
      <c r="V30" s="27">
        <f>Q30*N30*S30</f>
        <v>0</v>
      </c>
      <c r="W30" s="13">
        <f>R30*N30</f>
        <v>17.78</v>
      </c>
      <c r="X30" s="48">
        <f>($T30*'Данные для расчета'!$B$2+'Данные для расчета'!$B$4*$V30)</f>
        <v>163.36599999999999</v>
      </c>
      <c r="Y30" s="48">
        <f>($T30*'Данные для расчета'!$B$3+'Данные для расчета'!$B$5*$V30)</f>
        <v>23.338000000000001</v>
      </c>
      <c r="Z30" s="13">
        <f>T30+U30+W30+X30+Y30</f>
        <v>437.86399999999998</v>
      </c>
      <c r="AA30" s="48">
        <f>ROUND(Z30*'Данные для расчета'!$B$7,2)</f>
        <v>96.33</v>
      </c>
      <c r="AB30" s="13">
        <f>Z30+AA30</f>
        <v>534.19399999999996</v>
      </c>
      <c r="AC30" s="13">
        <f>O30/'Данные для расчета'!$B$12</f>
        <v>58.403403403403402</v>
      </c>
      <c r="AD30" s="13">
        <f>P30-Q30+AE30</f>
        <v>0</v>
      </c>
      <c r="AE30" s="13">
        <f>Q30/'Данные для расчета'!$B$12</f>
        <v>0</v>
      </c>
      <c r="AF30" s="13">
        <f>R30</f>
        <v>8.89</v>
      </c>
      <c r="AG30" s="27">
        <f t="shared" si="85"/>
        <v>116.8068068068068</v>
      </c>
      <c r="AH30" s="27">
        <f t="shared" si="85"/>
        <v>0</v>
      </c>
      <c r="AI30" s="27">
        <f t="shared" si="85"/>
        <v>0</v>
      </c>
      <c r="AJ30" s="27">
        <f t="shared" si="85"/>
        <v>17.78</v>
      </c>
      <c r="AK30" s="48">
        <f>($AG30*'Данные для расчета'!$B$2+'Данные для расчета'!$B$4*$AI30)</f>
        <v>81.764764764764763</v>
      </c>
      <c r="AL30" s="48">
        <f>($AG30*'Данные для расчета'!$B$3+'Данные для расчета'!$B$5*$AI30)</f>
        <v>11.68068068068068</v>
      </c>
      <c r="AM30" s="48">
        <f t="shared" si="15"/>
        <v>228.03225225225225</v>
      </c>
      <c r="AN30" s="48">
        <f>ROUND(AM30*'Данные для расчета'!$B$7,2)</f>
        <v>50.17</v>
      </c>
      <c r="AO30" s="48">
        <f t="shared" si="16"/>
        <v>278.20225225225226</v>
      </c>
      <c r="AP30" s="1">
        <v>0.18</v>
      </c>
      <c r="AQ30" s="29">
        <f>L30*AP30</f>
        <v>0.36</v>
      </c>
    </row>
    <row r="31" spans="1:43" ht="15" customHeight="1" x14ac:dyDescent="0.25">
      <c r="A31" s="2">
        <v>29</v>
      </c>
      <c r="B31" s="2" t="s">
        <v>145</v>
      </c>
      <c r="C31" s="2" t="s">
        <v>232</v>
      </c>
      <c r="D31" s="2"/>
      <c r="E31" s="2" t="s">
        <v>49</v>
      </c>
      <c r="F31" s="2" t="s">
        <v>233</v>
      </c>
      <c r="G31" s="2" t="s">
        <v>234</v>
      </c>
      <c r="H31" s="13" t="s">
        <v>37</v>
      </c>
      <c r="I31" s="13" t="s">
        <v>82</v>
      </c>
      <c r="J31" s="14">
        <v>10</v>
      </c>
      <c r="K31" s="14">
        <v>1</v>
      </c>
      <c r="L31" s="14">
        <f t="shared" ref="L31:L35" si="86">K31*J31</f>
        <v>10</v>
      </c>
      <c r="M31" s="14">
        <v>1</v>
      </c>
      <c r="N31" s="1">
        <f t="shared" ref="N31:N35" si="87">L31/M31</f>
        <v>10</v>
      </c>
      <c r="O31" s="13">
        <v>417.99</v>
      </c>
      <c r="P31" s="13">
        <v>0</v>
      </c>
      <c r="Q31" s="13">
        <v>0</v>
      </c>
      <c r="R31" s="13">
        <v>0.44</v>
      </c>
      <c r="S31" s="27">
        <v>1</v>
      </c>
      <c r="T31" s="27">
        <f t="shared" ref="T31:T35" si="88">O31*N31*S31</f>
        <v>4179.8999999999996</v>
      </c>
      <c r="U31" s="27">
        <f t="shared" ref="U31:U35" si="89">P31*N31*S31</f>
        <v>0</v>
      </c>
      <c r="V31" s="27">
        <f t="shared" ref="V31:V35" si="90">Q31*N31*S31</f>
        <v>0</v>
      </c>
      <c r="W31" s="13">
        <f t="shared" ref="W31:W35" si="91">R31*N31</f>
        <v>4.4000000000000004</v>
      </c>
      <c r="X31" s="48">
        <f>($T31*'Данные для расчета'!$B$2+'Данные для расчета'!$B$4*$V31)</f>
        <v>2925.9299999999994</v>
      </c>
      <c r="Y31" s="48">
        <f>($T31*'Данные для расчета'!$B$3+'Данные для расчета'!$B$5*$V31)</f>
        <v>417.99</v>
      </c>
      <c r="Z31" s="13">
        <f t="shared" ref="Z31:Z35" si="92">T31+U31+W31+X31+Y31</f>
        <v>7528.2199999999984</v>
      </c>
      <c r="AA31" s="48">
        <f>ROUND(Z31*'Данные для расчета'!$B$7,2)</f>
        <v>1656.21</v>
      </c>
      <c r="AB31" s="13">
        <f t="shared" ref="AB31:AB35" si="93">Z31+AA31</f>
        <v>9184.4299999999985</v>
      </c>
      <c r="AC31" s="13">
        <f>O31/'[3]Данные для расчета'!$B$12</f>
        <v>209.20420420420422</v>
      </c>
      <c r="AD31" s="13">
        <f t="shared" ref="AD31:AD35" si="94">P31-Q31+AE31</f>
        <v>0</v>
      </c>
      <c r="AE31" s="13">
        <f>Q31/'[3]Данные для расчета'!$B$12</f>
        <v>0</v>
      </c>
      <c r="AF31" s="13">
        <f t="shared" ref="AF31:AF35" si="95">R31</f>
        <v>0.44</v>
      </c>
      <c r="AG31" s="27">
        <f t="shared" ref="AG31:AJ35" si="96">AC31*$N31*$S31</f>
        <v>2092.0420420420423</v>
      </c>
      <c r="AH31" s="27">
        <f t="shared" si="96"/>
        <v>0</v>
      </c>
      <c r="AI31" s="27">
        <f t="shared" si="96"/>
        <v>0</v>
      </c>
      <c r="AJ31" s="27">
        <f t="shared" si="96"/>
        <v>4.4000000000000004</v>
      </c>
      <c r="AK31" s="48">
        <f>($AG31*'Данные для расчета'!$B$2+'Данные для расчета'!$B$4*$AI31)</f>
        <v>1464.4294294294295</v>
      </c>
      <c r="AL31" s="48">
        <f>($AG31*'Данные для расчета'!$B$3+'Данные для расчета'!$B$5*$AI31)</f>
        <v>209.20420420420425</v>
      </c>
      <c r="AM31" s="48">
        <f t="shared" si="15"/>
        <v>3770.0756756756764</v>
      </c>
      <c r="AN31" s="48">
        <f>ROUND(AM31*'Данные для расчета'!$B$7,2)</f>
        <v>829.42</v>
      </c>
      <c r="AO31" s="48">
        <f t="shared" si="16"/>
        <v>4599.4956756756765</v>
      </c>
      <c r="AP31" s="1">
        <v>5.27</v>
      </c>
      <c r="AQ31" s="29"/>
    </row>
    <row r="32" spans="1:43" ht="15" customHeight="1" x14ac:dyDescent="0.25">
      <c r="A32" s="2">
        <v>29</v>
      </c>
      <c r="B32" s="2" t="s">
        <v>145</v>
      </c>
      <c r="C32" s="2" t="s">
        <v>232</v>
      </c>
      <c r="D32" s="2"/>
      <c r="E32" s="2" t="s">
        <v>49</v>
      </c>
      <c r="F32" s="2" t="s">
        <v>235</v>
      </c>
      <c r="G32" s="2" t="s">
        <v>236</v>
      </c>
      <c r="H32" s="13" t="s">
        <v>33</v>
      </c>
      <c r="I32" s="13" t="s">
        <v>82</v>
      </c>
      <c r="J32" s="14">
        <v>2</v>
      </c>
      <c r="K32" s="14">
        <v>1</v>
      </c>
      <c r="L32" s="14">
        <f t="shared" si="86"/>
        <v>2</v>
      </c>
      <c r="M32" s="14">
        <v>1</v>
      </c>
      <c r="N32" s="1">
        <f t="shared" si="87"/>
        <v>2</v>
      </c>
      <c r="O32" s="13">
        <v>599.12</v>
      </c>
      <c r="P32" s="13">
        <v>0</v>
      </c>
      <c r="Q32" s="13">
        <v>0</v>
      </c>
      <c r="R32" s="13">
        <v>0.74</v>
      </c>
      <c r="S32" s="27">
        <v>1</v>
      </c>
      <c r="T32" s="27">
        <f t="shared" si="88"/>
        <v>1198.24</v>
      </c>
      <c r="U32" s="27">
        <f t="shared" si="89"/>
        <v>0</v>
      </c>
      <c r="V32" s="27">
        <f t="shared" si="90"/>
        <v>0</v>
      </c>
      <c r="W32" s="13">
        <f t="shared" si="91"/>
        <v>1.48</v>
      </c>
      <c r="X32" s="48">
        <f>($T32*'Данные для расчета'!$B$2+'Данные для расчета'!$B$4*$V32)</f>
        <v>838.76799999999992</v>
      </c>
      <c r="Y32" s="48">
        <f>($T32*'Данные для расчета'!$B$3+'Данные для расчета'!$B$5*$V32)</f>
        <v>119.82400000000001</v>
      </c>
      <c r="Z32" s="13">
        <f t="shared" si="92"/>
        <v>2158.3119999999999</v>
      </c>
      <c r="AA32" s="48">
        <f>ROUND(Z32*'Данные для расчета'!$B$7,2)</f>
        <v>474.83</v>
      </c>
      <c r="AB32" s="13">
        <f t="shared" si="93"/>
        <v>2633.1419999999998</v>
      </c>
      <c r="AC32" s="13">
        <f>O32/'[3]Данные для расчета'!$B$12</f>
        <v>299.85985985985985</v>
      </c>
      <c r="AD32" s="13">
        <f t="shared" si="94"/>
        <v>0</v>
      </c>
      <c r="AE32" s="13">
        <f>Q32/'[3]Данные для расчета'!$B$12</f>
        <v>0</v>
      </c>
      <c r="AF32" s="13">
        <f t="shared" si="95"/>
        <v>0.74</v>
      </c>
      <c r="AG32" s="27">
        <f t="shared" si="96"/>
        <v>599.71971971971971</v>
      </c>
      <c r="AH32" s="27">
        <f t="shared" si="96"/>
        <v>0</v>
      </c>
      <c r="AI32" s="27">
        <f t="shared" si="96"/>
        <v>0</v>
      </c>
      <c r="AJ32" s="27">
        <f t="shared" si="96"/>
        <v>1.48</v>
      </c>
      <c r="AK32" s="48">
        <f>($AG32*'Данные для расчета'!$B$2+'Данные для расчета'!$B$4*$AI32)</f>
        <v>419.80380380380376</v>
      </c>
      <c r="AL32" s="48">
        <f>($AG32*'Данные для расчета'!$B$3+'Данные для расчета'!$B$5*$AI32)</f>
        <v>59.971971971971975</v>
      </c>
      <c r="AM32" s="48">
        <f t="shared" si="15"/>
        <v>1080.9754954954954</v>
      </c>
      <c r="AN32" s="48">
        <f>ROUND(AM32*'Данные для расчета'!$B$7,2)</f>
        <v>237.81</v>
      </c>
      <c r="AO32" s="48">
        <f t="shared" si="16"/>
        <v>1318.7854954954953</v>
      </c>
      <c r="AP32" s="1">
        <v>5.27</v>
      </c>
      <c r="AQ32" s="29"/>
    </row>
    <row r="33" spans="1:43" x14ac:dyDescent="0.25">
      <c r="A33" s="49">
        <v>30</v>
      </c>
      <c r="B33" s="49" t="s">
        <v>237</v>
      </c>
      <c r="C33" s="49" t="s">
        <v>238</v>
      </c>
      <c r="D33"/>
      <c r="E33" s="70" t="s">
        <v>239</v>
      </c>
      <c r="F33" s="71" t="s">
        <v>240</v>
      </c>
      <c r="G33" s="46" t="s">
        <v>241</v>
      </c>
      <c r="H33" s="48" t="s">
        <v>37</v>
      </c>
      <c r="I33" s="48" t="s">
        <v>82</v>
      </c>
      <c r="J33" s="49">
        <v>12</v>
      </c>
      <c r="K33" s="49">
        <v>1</v>
      </c>
      <c r="L33" s="49">
        <f t="shared" si="86"/>
        <v>12</v>
      </c>
      <c r="M33" s="49">
        <v>1</v>
      </c>
      <c r="N33">
        <f t="shared" si="87"/>
        <v>12</v>
      </c>
      <c r="O33" s="30">
        <v>264.72000000000003</v>
      </c>
      <c r="P33" s="30">
        <v>0</v>
      </c>
      <c r="Q33" s="30">
        <v>0</v>
      </c>
      <c r="R33" s="72">
        <v>0.15</v>
      </c>
      <c r="S33" s="48">
        <v>1</v>
      </c>
      <c r="T33" s="48">
        <f t="shared" si="88"/>
        <v>3176.6400000000003</v>
      </c>
      <c r="U33" s="48">
        <f t="shared" si="89"/>
        <v>0</v>
      </c>
      <c r="V33" s="48">
        <f t="shared" si="90"/>
        <v>0</v>
      </c>
      <c r="W33" s="48">
        <f t="shared" si="91"/>
        <v>1.7999999999999998</v>
      </c>
      <c r="X33" s="48">
        <f>($T33*'Данные для расчета'!$B$2+'Данные для расчета'!$B$4*$V33)</f>
        <v>2223.6480000000001</v>
      </c>
      <c r="Y33" s="48">
        <f>($T33*'Данные для расчета'!$B$3+'Данные для расчета'!$B$5*$V33)</f>
        <v>317.66400000000004</v>
      </c>
      <c r="Z33" s="48">
        <f t="shared" si="92"/>
        <v>5719.7520000000004</v>
      </c>
      <c r="AA33" s="48">
        <f>ROUND(Z33*'Данные для расчета'!$B$7,2)</f>
        <v>1258.3499999999999</v>
      </c>
      <c r="AB33" s="48">
        <f t="shared" si="93"/>
        <v>6978.1020000000008</v>
      </c>
      <c r="AC33" s="48">
        <f>O33/'[3]Данные для расчета'!$B$12</f>
        <v>132.49249249249252</v>
      </c>
      <c r="AD33" s="48">
        <f t="shared" si="94"/>
        <v>0</v>
      </c>
      <c r="AE33" s="48">
        <f>Q33/'[3]Данные для расчета'!$B$12</f>
        <v>0</v>
      </c>
      <c r="AF33" s="48">
        <f t="shared" si="95"/>
        <v>0.15</v>
      </c>
      <c r="AG33" s="48">
        <f t="shared" si="96"/>
        <v>1589.9099099099103</v>
      </c>
      <c r="AH33" s="48">
        <f t="shared" si="96"/>
        <v>0</v>
      </c>
      <c r="AI33" s="48">
        <f t="shared" si="96"/>
        <v>0</v>
      </c>
      <c r="AJ33" s="48">
        <f t="shared" si="96"/>
        <v>1.7999999999999998</v>
      </c>
      <c r="AK33" s="48">
        <f>($AG33*'Данные для расчета'!$B$2+'Данные для расчета'!$B$4*$AI33)</f>
        <v>1112.9369369369372</v>
      </c>
      <c r="AL33" s="48">
        <f>($AG33*'Данные для расчета'!$B$3+'Данные для расчета'!$B$5*$AI33)</f>
        <v>158.99099099099104</v>
      </c>
      <c r="AM33" s="48">
        <f t="shared" si="15"/>
        <v>2863.6378378378386</v>
      </c>
      <c r="AN33" s="48">
        <f>ROUND(AM33*'Данные для расчета'!$B$7,2)</f>
        <v>630</v>
      </c>
      <c r="AO33" s="48">
        <f t="shared" si="16"/>
        <v>3493.6378378378386</v>
      </c>
      <c r="AP33">
        <v>0.38</v>
      </c>
      <c r="AQ33">
        <f t="shared" ref="AQ33:AQ35" si="97">L33*AP33</f>
        <v>4.5600000000000005</v>
      </c>
    </row>
    <row r="34" spans="1:43" x14ac:dyDescent="0.25">
      <c r="A34" s="49">
        <v>32</v>
      </c>
      <c r="B34" s="49" t="s">
        <v>153</v>
      </c>
      <c r="C34" s="49" t="s">
        <v>242</v>
      </c>
      <c r="D34"/>
      <c r="E34" s="70" t="s">
        <v>243</v>
      </c>
      <c r="F34" s="71" t="s">
        <v>244</v>
      </c>
      <c r="G34" s="46" t="s">
        <v>245</v>
      </c>
      <c r="H34" s="48" t="s">
        <v>37</v>
      </c>
      <c r="I34" s="48" t="s">
        <v>82</v>
      </c>
      <c r="J34" s="49">
        <v>10</v>
      </c>
      <c r="K34" s="49">
        <v>1</v>
      </c>
      <c r="L34" s="49">
        <f t="shared" si="86"/>
        <v>10</v>
      </c>
      <c r="M34" s="49">
        <v>1</v>
      </c>
      <c r="N34">
        <f t="shared" si="87"/>
        <v>10</v>
      </c>
      <c r="O34" s="30">
        <v>44.7</v>
      </c>
      <c r="P34" s="30">
        <v>13.78</v>
      </c>
      <c r="Q34" s="30">
        <v>8.31</v>
      </c>
      <c r="R34" s="72">
        <v>2.1800000000000002</v>
      </c>
      <c r="S34" s="48">
        <v>0.75</v>
      </c>
      <c r="T34" s="48">
        <f t="shared" si="88"/>
        <v>335.25</v>
      </c>
      <c r="U34" s="48">
        <f t="shared" si="89"/>
        <v>103.35</v>
      </c>
      <c r="V34" s="48">
        <f t="shared" si="90"/>
        <v>62.325000000000003</v>
      </c>
      <c r="W34" s="48">
        <f t="shared" si="91"/>
        <v>21.8</v>
      </c>
      <c r="X34" s="48">
        <f>($T34*'Данные для расчета'!$B$2+'Данные для расчета'!$B$4*$V34)</f>
        <v>283.2885</v>
      </c>
      <c r="Y34" s="48">
        <f>($T34*'Данные для расчета'!$B$3+'Данные для расчета'!$B$5*$V34)</f>
        <v>52.222499999999997</v>
      </c>
      <c r="Z34" s="48">
        <f t="shared" si="92"/>
        <v>795.91099999999994</v>
      </c>
      <c r="AA34" s="48">
        <f>ROUND(Z34*'Данные для расчета'!$B$7,2)</f>
        <v>175.1</v>
      </c>
      <c r="AB34" s="48">
        <f t="shared" si="93"/>
        <v>971.01099999999997</v>
      </c>
      <c r="AC34" s="48">
        <f>O34/'[1]Данные для расчета'!$B$12</f>
        <v>22.372372372372375</v>
      </c>
      <c r="AD34" s="48">
        <f t="shared" si="94"/>
        <v>9.6291591591591583</v>
      </c>
      <c r="AE34" s="48">
        <f>Q34/'[1]Данные для расчета'!$B$12</f>
        <v>4.1591591591591595</v>
      </c>
      <c r="AF34" s="48">
        <f t="shared" si="95"/>
        <v>2.1800000000000002</v>
      </c>
      <c r="AG34" s="48">
        <f t="shared" si="96"/>
        <v>167.79279279279282</v>
      </c>
      <c r="AH34" s="48">
        <f t="shared" si="96"/>
        <v>72.218693693693695</v>
      </c>
      <c r="AI34" s="48">
        <f t="shared" si="96"/>
        <v>31.193693693693696</v>
      </c>
      <c r="AJ34" s="48">
        <f t="shared" si="96"/>
        <v>16.350000000000001</v>
      </c>
      <c r="AK34" s="48">
        <f>($AG34*'Данные для расчета'!$B$2+'Данные для расчета'!$B$4*$AI34)</f>
        <v>141.78603603603605</v>
      </c>
      <c r="AL34" s="48">
        <f>($AG34*'Данные для расчета'!$B$3+'Данные для расчета'!$B$5*$AI34)</f>
        <v>26.137387387387392</v>
      </c>
      <c r="AM34" s="48">
        <f t="shared" si="15"/>
        <v>424.28490990990991</v>
      </c>
      <c r="AN34" s="48">
        <f>ROUND(AM34*'Данные для расчета'!$B$7,2)</f>
        <v>93.34</v>
      </c>
      <c r="AO34" s="48">
        <f t="shared" si="16"/>
        <v>517.62490990990989</v>
      </c>
      <c r="AQ34">
        <f t="shared" si="97"/>
        <v>0</v>
      </c>
    </row>
    <row r="35" spans="1:43" x14ac:dyDescent="0.25">
      <c r="A35" s="49">
        <v>32</v>
      </c>
      <c r="B35" s="49" t="s">
        <v>153</v>
      </c>
      <c r="C35" s="49" t="s">
        <v>242</v>
      </c>
      <c r="D35"/>
      <c r="E35" s="70" t="s">
        <v>246</v>
      </c>
      <c r="F35" s="71" t="s">
        <v>247</v>
      </c>
      <c r="G35" s="46" t="s">
        <v>248</v>
      </c>
      <c r="H35" s="48" t="s">
        <v>33</v>
      </c>
      <c r="I35" s="48" t="s">
        <v>82</v>
      </c>
      <c r="J35" s="49">
        <v>2</v>
      </c>
      <c r="K35" s="49">
        <v>1</v>
      </c>
      <c r="L35" s="49">
        <f t="shared" si="86"/>
        <v>2</v>
      </c>
      <c r="M35" s="49">
        <v>1</v>
      </c>
      <c r="N35">
        <f t="shared" si="87"/>
        <v>2</v>
      </c>
      <c r="O35" s="30">
        <v>260.76</v>
      </c>
      <c r="P35" s="30">
        <v>55.13</v>
      </c>
      <c r="Q35" s="30">
        <v>33.229999999999997</v>
      </c>
      <c r="R35" s="72">
        <v>9.7799999999999994</v>
      </c>
      <c r="S35" s="48">
        <v>0.7</v>
      </c>
      <c r="T35" s="48">
        <f t="shared" si="88"/>
        <v>365.06399999999996</v>
      </c>
      <c r="U35" s="48">
        <f t="shared" si="89"/>
        <v>77.182000000000002</v>
      </c>
      <c r="V35" s="48">
        <f t="shared" si="90"/>
        <v>46.521999999999991</v>
      </c>
      <c r="W35" s="48">
        <f t="shared" si="91"/>
        <v>19.559999999999999</v>
      </c>
      <c r="X35" s="48">
        <f>($T35*'Данные для расчета'!$B$2+'Данные для расчета'!$B$4*$V35)</f>
        <v>291.83195999999992</v>
      </c>
      <c r="Y35" s="48">
        <f>($T35*'Данные для расчета'!$B$3+'Данные для расчета'!$B$5*$V35)</f>
        <v>50.462999999999994</v>
      </c>
      <c r="Z35" s="48">
        <f t="shared" si="92"/>
        <v>804.10095999999987</v>
      </c>
      <c r="AA35" s="48">
        <f>ROUND(Z35*'Данные для расчета'!$B$7,2)</f>
        <v>176.9</v>
      </c>
      <c r="AB35" s="48">
        <f t="shared" si="93"/>
        <v>981.00095999999985</v>
      </c>
      <c r="AC35" s="48">
        <f>O35/'[1]Данные для расчета'!$B$12</f>
        <v>130.5105105105105</v>
      </c>
      <c r="AD35" s="48">
        <f t="shared" si="94"/>
        <v>38.53163163163164</v>
      </c>
      <c r="AE35" s="48">
        <f>Q35/'[1]Данные для расчета'!$B$12</f>
        <v>16.631631631631631</v>
      </c>
      <c r="AF35" s="48">
        <f t="shared" si="95"/>
        <v>9.7799999999999994</v>
      </c>
      <c r="AG35" s="48">
        <f t="shared" si="96"/>
        <v>182.71471471471469</v>
      </c>
      <c r="AH35" s="48">
        <f t="shared" si="96"/>
        <v>53.944284284284294</v>
      </c>
      <c r="AI35" s="48">
        <f t="shared" si="96"/>
        <v>23.284284284284283</v>
      </c>
      <c r="AJ35" s="48">
        <f t="shared" si="96"/>
        <v>13.691999999999998</v>
      </c>
      <c r="AK35" s="48">
        <f>($AG35*'Данные для расчета'!$B$2+'Данные для расчета'!$B$4*$AI35)</f>
        <v>146.06204204204201</v>
      </c>
      <c r="AL35" s="48">
        <f>($AG35*'Данные для расчета'!$B$3+'Данные для расчета'!$B$5*$AI35)</f>
        <v>25.256756756756751</v>
      </c>
      <c r="AM35" s="48">
        <f t="shared" si="15"/>
        <v>421.66979779779774</v>
      </c>
      <c r="AN35" s="48">
        <f>ROUND(AM35*'Данные для расчета'!$B$7,2)</f>
        <v>92.77</v>
      </c>
      <c r="AO35" s="48">
        <f t="shared" si="16"/>
        <v>514.43979779779772</v>
      </c>
      <c r="AQ35">
        <f t="shared" si="97"/>
        <v>0</v>
      </c>
    </row>
    <row r="36" spans="1:43" x14ac:dyDescent="0.25">
      <c r="A36" s="49">
        <v>41</v>
      </c>
      <c r="B36" s="49" t="s">
        <v>159</v>
      </c>
      <c r="C36" s="49" t="s">
        <v>249</v>
      </c>
      <c r="D36"/>
      <c r="E36" s="70" t="s">
        <v>96</v>
      </c>
      <c r="F36" s="47" t="s">
        <v>250</v>
      </c>
      <c r="G36" s="46" t="s">
        <v>251</v>
      </c>
      <c r="H36" s="48" t="s">
        <v>33</v>
      </c>
      <c r="I36" s="48" t="s">
        <v>252</v>
      </c>
      <c r="J36" s="49">
        <v>2</v>
      </c>
      <c r="K36" s="49">
        <v>2</v>
      </c>
      <c r="L36" s="49">
        <f>K36*J36</f>
        <v>4</v>
      </c>
      <c r="M36" s="49">
        <v>10</v>
      </c>
      <c r="N36">
        <f>L36/M36</f>
        <v>0.4</v>
      </c>
      <c r="O36" s="30">
        <v>2062.0700000000002</v>
      </c>
      <c r="P36" s="30">
        <v>0</v>
      </c>
      <c r="Q36" s="30">
        <v>0</v>
      </c>
      <c r="R36" s="72">
        <v>35.75</v>
      </c>
      <c r="S36" s="48">
        <v>1</v>
      </c>
      <c r="T36" s="48">
        <f>O36*N36*S36</f>
        <v>824.82800000000009</v>
      </c>
      <c r="U36" s="48">
        <f>P36*N36*S36</f>
        <v>0</v>
      </c>
      <c r="V36" s="48">
        <f>Q36*N36*S36</f>
        <v>0</v>
      </c>
      <c r="W36" s="48">
        <f>R36*N36</f>
        <v>14.3</v>
      </c>
      <c r="X36" s="48">
        <f>($T36*'Данные для расчета'!$B$2+'Данные для расчета'!$B$4*$V36)</f>
        <v>577.37959999999998</v>
      </c>
      <c r="Y36" s="48">
        <f>($T36*'Данные для расчета'!$B$3+'Данные для расчета'!$B$5*$V36)</f>
        <v>82.482800000000012</v>
      </c>
      <c r="Z36" s="48">
        <f>T36+U36+W36+X36+Y36</f>
        <v>1498.9903999999999</v>
      </c>
      <c r="AA36" s="48">
        <f>ROUND(Z36*'Данные для расчета'!$B$7,2)</f>
        <v>329.78</v>
      </c>
      <c r="AB36" s="48">
        <f>Z36+AA36</f>
        <v>1828.7703999999999</v>
      </c>
      <c r="AC36" s="48">
        <f>O36/'[1]Данные для расчета'!$B$12</f>
        <v>1032.0670670670672</v>
      </c>
      <c r="AD36" s="48">
        <f>P36-Q36+AE36</f>
        <v>0</v>
      </c>
      <c r="AE36" s="48">
        <f>Q36/'[1]Данные для расчета'!$B$12</f>
        <v>0</v>
      </c>
      <c r="AF36" s="48">
        <f>R36</f>
        <v>35.75</v>
      </c>
      <c r="AG36" s="48">
        <f>AC36*$N36*$S36</f>
        <v>412.8268268268269</v>
      </c>
      <c r="AH36" s="48">
        <f>AD36*$N36*$S36</f>
        <v>0</v>
      </c>
      <c r="AI36" s="48">
        <f>AE36*$N36*$S36</f>
        <v>0</v>
      </c>
      <c r="AJ36" s="48">
        <f>AF36*$N36*$S36</f>
        <v>14.3</v>
      </c>
      <c r="AK36" s="48">
        <f>($AG36*'Данные для расчета'!$B$2+'Данные для расчета'!$B$4*$AI36)</f>
        <v>288.9787787787788</v>
      </c>
      <c r="AL36" s="48">
        <f>($AG36*'Данные для расчета'!$B$3+'Данные для расчета'!$B$5*$AI36)</f>
        <v>41.28268268268269</v>
      </c>
      <c r="AM36" s="48">
        <f t="shared" si="15"/>
        <v>757.38828828828832</v>
      </c>
      <c r="AN36" s="48">
        <f>ROUND(AM36*'Данные для расчета'!$B$7,2)</f>
        <v>166.63</v>
      </c>
      <c r="AO36" s="48">
        <f t="shared" si="16"/>
        <v>924.01828828828832</v>
      </c>
      <c r="AP36">
        <v>0.2</v>
      </c>
      <c r="AQ36">
        <f>L36*AP36</f>
        <v>0.8</v>
      </c>
    </row>
    <row r="37" spans="1:43" x14ac:dyDescent="0.25">
      <c r="A37" s="49">
        <v>42</v>
      </c>
      <c r="B37" s="49" t="s">
        <v>253</v>
      </c>
      <c r="C37" s="49" t="s">
        <v>254</v>
      </c>
      <c r="D37"/>
      <c r="E37" s="70" t="s">
        <v>96</v>
      </c>
      <c r="F37" s="47" t="s">
        <v>164</v>
      </c>
      <c r="G37" s="46" t="s">
        <v>255</v>
      </c>
      <c r="H37" s="48" t="s">
        <v>33</v>
      </c>
      <c r="I37" s="48" t="s">
        <v>252</v>
      </c>
      <c r="J37" s="49">
        <v>2</v>
      </c>
      <c r="K37" s="49">
        <v>2</v>
      </c>
      <c r="L37" s="49">
        <f>K37*J37</f>
        <v>4</v>
      </c>
      <c r="M37" s="49">
        <v>10</v>
      </c>
      <c r="N37">
        <f>L37/M37</f>
        <v>0.4</v>
      </c>
      <c r="O37" s="30">
        <v>633.27</v>
      </c>
      <c r="P37" s="30">
        <v>0</v>
      </c>
      <c r="Q37" s="30">
        <v>0</v>
      </c>
      <c r="R37" s="72">
        <v>1.48</v>
      </c>
      <c r="S37" s="48">
        <v>1</v>
      </c>
      <c r="T37" s="48">
        <f t="shared" ref="T37:T38" si="98">O37*N37*S37</f>
        <v>253.30799999999999</v>
      </c>
      <c r="U37" s="48">
        <f t="shared" ref="U37:U38" si="99">P37*N37*S37</f>
        <v>0</v>
      </c>
      <c r="V37" s="48">
        <f t="shared" ref="V37:V38" si="100">Q37*N37*S37</f>
        <v>0</v>
      </c>
      <c r="W37" s="48">
        <f t="shared" ref="W37:W38" si="101">R37*N37</f>
        <v>0.59199999999999997</v>
      </c>
      <c r="X37" s="48">
        <f>($T37*'Данные для расчета'!$B$2+'Данные для расчета'!$B$4*$V37)</f>
        <v>177.31559999999999</v>
      </c>
      <c r="Y37" s="48">
        <f>($T37*'Данные для расчета'!$B$3+'Данные для расчета'!$B$5*$V37)</f>
        <v>25.3308</v>
      </c>
      <c r="Z37" s="48">
        <f t="shared" ref="Z37:Z38" si="102">T37+U37+W37+X37+Y37</f>
        <v>456.54640000000001</v>
      </c>
      <c r="AA37" s="48">
        <f>ROUND(Z37*'Данные для расчета'!$B$7,2)</f>
        <v>100.44</v>
      </c>
      <c r="AB37" s="48">
        <f t="shared" ref="AB37:AB38" si="103">Z37+AA37</f>
        <v>556.9864</v>
      </c>
      <c r="AC37" s="48">
        <f>O37/'[1]Данные для расчета'!$B$12</f>
        <v>316.95195195195197</v>
      </c>
      <c r="AD37" s="48">
        <f t="shared" ref="AD37:AD38" si="104">P37-Q37+AE37</f>
        <v>0</v>
      </c>
      <c r="AE37" s="48">
        <f>Q37/'[1]Данные для расчета'!$B$12</f>
        <v>0</v>
      </c>
      <c r="AF37" s="48">
        <f t="shared" ref="AF37:AF38" si="105">R37</f>
        <v>1.48</v>
      </c>
      <c r="AG37" s="48">
        <f t="shared" ref="AG37:AJ38" si="106">AC37*$N37*$S37</f>
        <v>126.78078078078079</v>
      </c>
      <c r="AH37" s="48">
        <f t="shared" si="106"/>
        <v>0</v>
      </c>
      <c r="AI37" s="48">
        <f t="shared" si="106"/>
        <v>0</v>
      </c>
      <c r="AJ37" s="48">
        <f t="shared" si="106"/>
        <v>0.59199999999999997</v>
      </c>
      <c r="AK37" s="48">
        <f>($AG37*'Данные для расчета'!$B$2+'Данные для расчета'!$B$4*$AI37)</f>
        <v>88.74654654654654</v>
      </c>
      <c r="AL37" s="48">
        <f>($AG37*'Данные для расчета'!$B$3+'Данные для расчета'!$B$5*$AI37)</f>
        <v>12.67807807807808</v>
      </c>
      <c r="AM37" s="48">
        <f t="shared" si="15"/>
        <v>228.79740540540539</v>
      </c>
      <c r="AN37" s="48">
        <f>ROUND(AM37*'Данные для расчета'!$B$7,2)</f>
        <v>50.34</v>
      </c>
      <c r="AO37" s="48">
        <f t="shared" si="16"/>
        <v>279.13740540540539</v>
      </c>
    </row>
    <row r="38" spans="1:43" x14ac:dyDescent="0.25">
      <c r="A38" s="49"/>
      <c r="B38" s="49"/>
      <c r="C38" s="49"/>
      <c r="D38"/>
      <c r="E38" s="70" t="s">
        <v>91</v>
      </c>
      <c r="F38" s="47" t="s">
        <v>92</v>
      </c>
      <c r="G38" s="46" t="s">
        <v>93</v>
      </c>
      <c r="H38" s="48" t="s">
        <v>54</v>
      </c>
      <c r="I38" s="48" t="s">
        <v>82</v>
      </c>
      <c r="J38" s="49">
        <v>1</v>
      </c>
      <c r="K38" s="49">
        <v>24508.400000000001</v>
      </c>
      <c r="L38" s="49">
        <f t="shared" ref="L38" si="107">K38*J38</f>
        <v>24508.400000000001</v>
      </c>
      <c r="M38" s="49">
        <v>1000</v>
      </c>
      <c r="N38">
        <f t="shared" ref="N38" si="108">L38/M38</f>
        <v>24.508400000000002</v>
      </c>
      <c r="O38" s="30">
        <v>463.84</v>
      </c>
      <c r="P38" s="30">
        <v>0.44</v>
      </c>
      <c r="Q38" s="30">
        <v>0.01</v>
      </c>
      <c r="R38" s="72">
        <v>0</v>
      </c>
      <c r="S38" s="48">
        <v>1</v>
      </c>
      <c r="T38" s="48">
        <f t="shared" si="98"/>
        <v>11367.976256</v>
      </c>
      <c r="U38" s="48">
        <f t="shared" si="99"/>
        <v>10.783696000000001</v>
      </c>
      <c r="V38" s="48">
        <f t="shared" si="100"/>
        <v>0.24508400000000002</v>
      </c>
      <c r="W38" s="48">
        <f t="shared" si="101"/>
        <v>0</v>
      </c>
      <c r="X38" s="48">
        <f>($T38*'Данные для расчета'!$B$2+'Данные для расчета'!$B$4*$V38)</f>
        <v>7957.7745447199995</v>
      </c>
      <c r="Y38" s="48">
        <f>($T38*'Данные для расчета'!$B$3+'Данные для расчета'!$B$5*$V38)</f>
        <v>1136.8711507999999</v>
      </c>
      <c r="Z38" s="48">
        <f t="shared" si="102"/>
        <v>20473.405647520001</v>
      </c>
      <c r="AA38" s="48">
        <f>ROUND(Z38*'Данные для расчета'!$B$7,2)</f>
        <v>4504.1499999999996</v>
      </c>
      <c r="AB38" s="48">
        <f t="shared" si="103"/>
        <v>24977.555647519999</v>
      </c>
      <c r="AC38" s="48">
        <f>O38/'[1]Данные для расчета'!$B$12</f>
        <v>232.15215215215213</v>
      </c>
      <c r="AD38" s="48">
        <f t="shared" si="104"/>
        <v>0.435005005005005</v>
      </c>
      <c r="AE38" s="48">
        <f>Q38/'[1]Данные для расчета'!$B$12</f>
        <v>5.005005005005005E-3</v>
      </c>
      <c r="AF38" s="48">
        <f t="shared" si="105"/>
        <v>0</v>
      </c>
      <c r="AG38" s="48">
        <f t="shared" si="106"/>
        <v>5689.6778058058053</v>
      </c>
      <c r="AH38" s="48">
        <f t="shared" si="106"/>
        <v>10.661276664664666</v>
      </c>
      <c r="AI38" s="48">
        <f t="shared" si="106"/>
        <v>0.12266466466466468</v>
      </c>
      <c r="AJ38" s="48">
        <f t="shared" si="106"/>
        <v>0</v>
      </c>
      <c r="AK38" s="48">
        <f>($AG38*'Данные для расчета'!$B$2+'Данные для расчета'!$B$4*$AI38)</f>
        <v>3982.8701425025019</v>
      </c>
      <c r="AL38" s="48">
        <f>($AG38*'Данные для расчета'!$B$3+'Данные для расчета'!$B$5*$AI38)</f>
        <v>569.00457997998001</v>
      </c>
      <c r="AM38" s="48">
        <f t="shared" si="15"/>
        <v>10252.213804952953</v>
      </c>
      <c r="AN38" s="48">
        <f>ROUND(AM38*'Данные для расчета'!$B$7,2)</f>
        <v>2255.4899999999998</v>
      </c>
      <c r="AO38" s="48">
        <f t="shared" si="16"/>
        <v>12507.703804952953</v>
      </c>
      <c r="AP38">
        <v>0.48</v>
      </c>
      <c r="AQ38">
        <f>L38*AP38</f>
        <v>11764.032000000001</v>
      </c>
    </row>
    <row r="39" spans="1:43" s="19" customFormat="1" ht="15" customHeight="1" x14ac:dyDescent="0.25">
      <c r="A39" s="16"/>
      <c r="B39" s="16"/>
      <c r="C39" s="17"/>
      <c r="D39" s="17"/>
      <c r="E39" s="18" t="s">
        <v>260</v>
      </c>
      <c r="F39" s="16"/>
      <c r="G39" s="16"/>
      <c r="H39" s="16"/>
      <c r="I39" s="16"/>
      <c r="J39" s="16"/>
      <c r="K39" s="16"/>
      <c r="M39" s="16"/>
      <c r="N39" s="16"/>
      <c r="O39" s="16"/>
      <c r="Q39" s="16"/>
      <c r="T39" s="20">
        <f>SUM(T3:T38)</f>
        <v>1340642.3677559998</v>
      </c>
      <c r="U39" s="20">
        <f>SUM(U3:U38)</f>
        <v>7807.5131959999999</v>
      </c>
      <c r="V39" s="16"/>
      <c r="W39" s="20">
        <f t="shared" ref="W39:AB39" si="109">SUM(W3:W38)</f>
        <v>31046.694</v>
      </c>
      <c r="X39" s="20">
        <f t="shared" si="109"/>
        <v>942114.22385471989</v>
      </c>
      <c r="Y39" s="20">
        <f t="shared" si="109"/>
        <v>135473.68540079996</v>
      </c>
      <c r="Z39" s="20">
        <f t="shared" si="109"/>
        <v>2457084.4842075193</v>
      </c>
      <c r="AA39" s="20">
        <f t="shared" si="109"/>
        <v>540558.61999999976</v>
      </c>
      <c r="AB39" s="20">
        <f t="shared" si="109"/>
        <v>2997643.1042075208</v>
      </c>
      <c r="AC39" s="16"/>
      <c r="AD39" s="16"/>
      <c r="AE39" s="16"/>
      <c r="AF39" s="16"/>
      <c r="AG39" s="20">
        <f>SUM(AG3:AG38)</f>
        <v>670992.17605405406</v>
      </c>
      <c r="AH39" s="20">
        <f>SUM(AH3:AH38)</f>
        <v>5460.7835864744748</v>
      </c>
      <c r="AI39" s="16"/>
      <c r="AJ39" s="20">
        <f t="shared" ref="AJ39:AO39" si="110">SUM(AJ3:AJ38)</f>
        <v>31035.375999999997</v>
      </c>
      <c r="AK39" s="20">
        <f t="shared" si="110"/>
        <v>471528.64056792768</v>
      </c>
      <c r="AL39" s="20">
        <f t="shared" si="110"/>
        <v>67804.64734774777</v>
      </c>
      <c r="AM39" s="20">
        <f t="shared" si="110"/>
        <v>1246821.6235562041</v>
      </c>
      <c r="AN39" s="20">
        <f t="shared" si="110"/>
        <v>274300.76</v>
      </c>
      <c r="AO39" s="20">
        <f t="shared" si="110"/>
        <v>1521122.3835562037</v>
      </c>
      <c r="AQ39" s="19">
        <f>SUM(AQ3:AQ38)</f>
        <v>12666.382000000001</v>
      </c>
    </row>
    <row r="40" spans="1:43" s="78" customFormat="1" ht="15" customHeight="1" x14ac:dyDescent="0.25">
      <c r="A40" s="46">
        <v>1</v>
      </c>
      <c r="B40" s="46" t="s">
        <v>167</v>
      </c>
      <c r="C40" s="46" t="s">
        <v>168</v>
      </c>
      <c r="D40" s="46" t="s">
        <v>166</v>
      </c>
      <c r="E40" s="46" t="s">
        <v>265</v>
      </c>
      <c r="F40" t="s">
        <v>169</v>
      </c>
      <c r="G40" s="51" t="s">
        <v>266</v>
      </c>
      <c r="H40" s="48" t="s">
        <v>37</v>
      </c>
      <c r="I40" s="48" t="s">
        <v>82</v>
      </c>
      <c r="J40" s="49">
        <v>11</v>
      </c>
      <c r="K40" s="49">
        <v>1</v>
      </c>
      <c r="L40" s="49">
        <f t="shared" ref="L40" si="111">K40*J40</f>
        <v>11</v>
      </c>
      <c r="M40" s="49">
        <v>1</v>
      </c>
      <c r="N40">
        <f t="shared" ref="N40" si="112">L40/M40</f>
        <v>11</v>
      </c>
      <c r="O40" s="48">
        <v>404.06</v>
      </c>
      <c r="P40" s="48">
        <v>0.72</v>
      </c>
      <c r="Q40" s="48">
        <v>0</v>
      </c>
      <c r="R40" s="48">
        <v>0.59</v>
      </c>
      <c r="S40" s="50">
        <v>1</v>
      </c>
      <c r="T40" s="50">
        <f t="shared" ref="T40" si="113">O40*N40*S40</f>
        <v>4444.66</v>
      </c>
      <c r="U40" s="50">
        <f t="shared" ref="U40" si="114">P40*N40*S40</f>
        <v>7.92</v>
      </c>
      <c r="V40" s="50">
        <f t="shared" ref="V40" si="115">Q40*N40*S40</f>
        <v>0</v>
      </c>
      <c r="W40" s="48">
        <f t="shared" ref="W40" si="116">R40*N40</f>
        <v>6.4899999999999993</v>
      </c>
      <c r="X40" s="48">
        <f>($T40*'Данные для расчета'!$B$2+'Данные для расчета'!$B$4*$V40)</f>
        <v>3111.2619999999997</v>
      </c>
      <c r="Y40" s="48">
        <f>($T40*'Данные для расчета'!$B$3+'Данные для расчета'!$B$5*$V40)</f>
        <v>444.46600000000001</v>
      </c>
      <c r="Z40" s="48">
        <f t="shared" ref="Z40" si="117">T40+U40+W40+X40+Y40</f>
        <v>8014.7979999999998</v>
      </c>
      <c r="AA40" s="48">
        <f>ROUND(Z40*'Данные для расчета'!$B$7,2)</f>
        <v>1763.26</v>
      </c>
      <c r="AB40" s="48">
        <f t="shared" ref="AB40" si="118">Z40+AA40</f>
        <v>9778.0579999999991</v>
      </c>
      <c r="AC40" s="48">
        <f>O40/'[4]Данные для расчета'!$B$12</f>
        <v>202.23223223223223</v>
      </c>
      <c r="AD40" s="48">
        <f t="shared" ref="AD40" si="119">P40-Q40+AE40</f>
        <v>0.72</v>
      </c>
      <c r="AE40" s="48">
        <f>Q40/'[4]Данные для расчета'!$B$12</f>
        <v>0</v>
      </c>
      <c r="AF40" s="48">
        <f t="shared" ref="AF40" si="120">R40</f>
        <v>0.59</v>
      </c>
      <c r="AG40" s="50">
        <f t="shared" ref="AG40:AJ40" si="121">AC40*$N40*$S40</f>
        <v>2224.5545545545547</v>
      </c>
      <c r="AH40" s="50">
        <f t="shared" si="121"/>
        <v>7.92</v>
      </c>
      <c r="AI40" s="50">
        <f t="shared" si="121"/>
        <v>0</v>
      </c>
      <c r="AJ40" s="50">
        <f t="shared" si="121"/>
        <v>6.4899999999999993</v>
      </c>
      <c r="AK40" s="48">
        <f>($AG40*'Данные для расчета'!$B$2+'Данные для расчета'!$B$4*$AI40)</f>
        <v>1557.1881881881882</v>
      </c>
      <c r="AL40" s="48">
        <f>($AG40*'Данные для расчета'!$B$3+'Данные для расчета'!$B$5*$AI40)</f>
        <v>222.45545545545548</v>
      </c>
      <c r="AM40" s="48">
        <f t="shared" ref="AM40" si="122">AG40+AH40+AJ40+AK40+AL40</f>
        <v>4018.6081981981984</v>
      </c>
      <c r="AN40" s="48">
        <f>ROUND(AM40*'Данные для расчета'!$B$7,2)</f>
        <v>884.09</v>
      </c>
      <c r="AO40" s="48">
        <f t="shared" ref="AO40" si="123">AM40+AN40</f>
        <v>4902.698198198198</v>
      </c>
      <c r="AP40">
        <v>0.57999999999999996</v>
      </c>
      <c r="AQ40">
        <f t="shared" ref="AQ40:AQ45" si="124">L40*AP40</f>
        <v>6.38</v>
      </c>
    </row>
    <row r="41" spans="1:43" s="78" customFormat="1" ht="15" customHeight="1" thickBot="1" x14ac:dyDescent="0.3">
      <c r="A41" s="46">
        <v>1</v>
      </c>
      <c r="B41" s="46" t="s">
        <v>167</v>
      </c>
      <c r="C41" s="46" t="s">
        <v>168</v>
      </c>
      <c r="D41" s="46" t="s">
        <v>166</v>
      </c>
      <c r="E41" s="46" t="s">
        <v>265</v>
      </c>
      <c r="F41" t="s">
        <v>170</v>
      </c>
      <c r="G41" s="51" t="s">
        <v>267</v>
      </c>
      <c r="H41" s="48" t="s">
        <v>54</v>
      </c>
      <c r="I41" s="48" t="s">
        <v>82</v>
      </c>
      <c r="J41" s="49">
        <v>1</v>
      </c>
      <c r="K41" s="49">
        <v>1</v>
      </c>
      <c r="L41" s="49">
        <f t="shared" ref="L41:L42" si="125">K41*J41</f>
        <v>1</v>
      </c>
      <c r="M41" s="49">
        <v>1</v>
      </c>
      <c r="N41">
        <f t="shared" ref="N41:N42" si="126">L41/M41</f>
        <v>1</v>
      </c>
      <c r="O41" s="48">
        <v>515.52</v>
      </c>
      <c r="P41" s="48">
        <v>0.72</v>
      </c>
      <c r="Q41" s="48">
        <v>0</v>
      </c>
      <c r="R41" s="48">
        <v>0.89</v>
      </c>
      <c r="S41" s="50">
        <v>1</v>
      </c>
      <c r="T41" s="50">
        <f t="shared" ref="T41:T42" si="127">O41*N41*S41</f>
        <v>515.52</v>
      </c>
      <c r="U41" s="50">
        <f t="shared" ref="U41:U42" si="128">P41*N41*S41</f>
        <v>0.72</v>
      </c>
      <c r="V41" s="50">
        <f t="shared" ref="V41:V42" si="129">Q41*N41*S41</f>
        <v>0</v>
      </c>
      <c r="W41" s="48">
        <f t="shared" ref="W41:W42" si="130">R41*N41</f>
        <v>0.89</v>
      </c>
      <c r="X41" s="48">
        <f>($T41*'Данные для расчета'!$B$2+'Данные для расчета'!$B$4*$V41)</f>
        <v>360.86399999999998</v>
      </c>
      <c r="Y41" s="48">
        <f>($T41*'Данные для расчета'!$B$3+'Данные для расчета'!$B$5*$V41)</f>
        <v>51.552</v>
      </c>
      <c r="Z41" s="48">
        <f t="shared" ref="Z41:Z42" si="131">T41+U41+W41+X41+Y41</f>
        <v>929.54599999999994</v>
      </c>
      <c r="AA41" s="48">
        <f>ROUND(Z41*'Данные для расчета'!$B$7,2)</f>
        <v>204.5</v>
      </c>
      <c r="AB41" s="48">
        <f t="shared" ref="AB41:AB42" si="132">Z41+AA41</f>
        <v>1134.0459999999998</v>
      </c>
      <c r="AC41" s="48">
        <f>O41/'[4]Данные для расчета'!$B$12</f>
        <v>258.01801801801798</v>
      </c>
      <c r="AD41" s="48">
        <f t="shared" ref="AD41:AD42" si="133">P41-Q41+AE41</f>
        <v>0.72</v>
      </c>
      <c r="AE41" s="48">
        <f>Q41/'[4]Данные для расчета'!$B$12</f>
        <v>0</v>
      </c>
      <c r="AF41" s="48">
        <f t="shared" ref="AF41:AF42" si="134">R41</f>
        <v>0.89</v>
      </c>
      <c r="AG41" s="50">
        <f t="shared" ref="AG41:AG42" si="135">AC41*$N41*$S41</f>
        <v>258.01801801801798</v>
      </c>
      <c r="AH41" s="50">
        <f t="shared" ref="AH41:AH42" si="136">AD41*$N41*$S41</f>
        <v>0.72</v>
      </c>
      <c r="AI41" s="50">
        <f t="shared" ref="AI41:AI42" si="137">AE41*$N41*$S41</f>
        <v>0</v>
      </c>
      <c r="AJ41" s="50">
        <f t="shared" ref="AJ41:AJ42" si="138">AF41*$N41*$S41</f>
        <v>0.89</v>
      </c>
      <c r="AK41" s="48">
        <f>($AG41*'Данные для расчета'!$B$2+'Данные для расчета'!$B$4*$AI41)</f>
        <v>180.61261261261257</v>
      </c>
      <c r="AL41" s="48">
        <f>($AG41*'Данные для расчета'!$B$3+'Данные для расчета'!$B$5*$AI41)</f>
        <v>25.801801801801801</v>
      </c>
      <c r="AM41" s="48">
        <f t="shared" ref="AM41:AM49" si="139">AG41+AH41+AJ41+AK41+AL41</f>
        <v>466.04243243243235</v>
      </c>
      <c r="AN41" s="48">
        <f>ROUND(AM41*'Данные для расчета'!$B$7,2)</f>
        <v>102.53</v>
      </c>
      <c r="AO41" s="48">
        <f t="shared" ref="AO41:AO49" si="140">AM41+AN41</f>
        <v>568.57243243243238</v>
      </c>
      <c r="AP41">
        <v>0.57999999999999996</v>
      </c>
      <c r="AQ41">
        <f t="shared" si="124"/>
        <v>0.57999999999999996</v>
      </c>
    </row>
    <row r="42" spans="1:43" s="83" customFormat="1" ht="15" customHeight="1" thickBot="1" x14ac:dyDescent="0.3">
      <c r="A42" s="79">
        <v>2</v>
      </c>
      <c r="B42" s="46" t="s">
        <v>171</v>
      </c>
      <c r="C42" s="46" t="s">
        <v>172</v>
      </c>
      <c r="D42" s="80"/>
      <c r="E42" s="80" t="s">
        <v>268</v>
      </c>
      <c r="F42" s="80" t="s">
        <v>173</v>
      </c>
      <c r="G42" s="84" t="s">
        <v>269</v>
      </c>
      <c r="H42" s="48" t="s">
        <v>54</v>
      </c>
      <c r="I42" s="92" t="s">
        <v>276</v>
      </c>
      <c r="J42" s="82">
        <v>1</v>
      </c>
      <c r="K42" s="82">
        <v>80</v>
      </c>
      <c r="L42" s="82">
        <f t="shared" si="125"/>
        <v>80</v>
      </c>
      <c r="M42" s="82">
        <v>10</v>
      </c>
      <c r="N42" s="83">
        <f t="shared" si="126"/>
        <v>8</v>
      </c>
      <c r="O42" s="81">
        <v>1147.33</v>
      </c>
      <c r="P42" s="81">
        <v>0</v>
      </c>
      <c r="Q42" s="81">
        <v>0</v>
      </c>
      <c r="R42" s="81">
        <v>4.4400000000000004</v>
      </c>
      <c r="S42" s="81">
        <v>1</v>
      </c>
      <c r="T42" s="81">
        <f t="shared" si="127"/>
        <v>9178.64</v>
      </c>
      <c r="U42" s="81">
        <f t="shared" si="128"/>
        <v>0</v>
      </c>
      <c r="V42" s="81">
        <f t="shared" si="129"/>
        <v>0</v>
      </c>
      <c r="W42" s="81">
        <f t="shared" si="130"/>
        <v>35.520000000000003</v>
      </c>
      <c r="X42" s="48">
        <f>($T42*'Данные для расчета'!$B$2+'Данные для расчета'!$B$4*$V42)</f>
        <v>6425.0479999999989</v>
      </c>
      <c r="Y42" s="48">
        <f>($T42*'Данные для расчета'!$B$3+'Данные для расчета'!$B$5*$V42)</f>
        <v>917.86400000000003</v>
      </c>
      <c r="Z42" s="81">
        <f t="shared" si="131"/>
        <v>16557.072</v>
      </c>
      <c r="AA42" s="48">
        <f>ROUND(Z42*'Данные для расчета'!$B$7,2)</f>
        <v>3642.56</v>
      </c>
      <c r="AB42" s="81">
        <f t="shared" si="132"/>
        <v>20199.632000000001</v>
      </c>
      <c r="AC42" s="81">
        <f>O42/'[4]Данные для расчета'!$B$12</f>
        <v>574.23923923923917</v>
      </c>
      <c r="AD42" s="81">
        <f t="shared" si="133"/>
        <v>0</v>
      </c>
      <c r="AE42" s="81">
        <f>Q42/'[4]Данные для расчета'!$B$12</f>
        <v>0</v>
      </c>
      <c r="AF42" s="81">
        <f t="shared" si="134"/>
        <v>4.4400000000000004</v>
      </c>
      <c r="AG42" s="81">
        <f t="shared" si="135"/>
        <v>4593.9139139139133</v>
      </c>
      <c r="AH42" s="81">
        <f t="shared" si="136"/>
        <v>0</v>
      </c>
      <c r="AI42" s="81">
        <f t="shared" si="137"/>
        <v>0</v>
      </c>
      <c r="AJ42" s="81">
        <f t="shared" si="138"/>
        <v>35.520000000000003</v>
      </c>
      <c r="AK42" s="48">
        <f>($AG42*'Данные для расчета'!$B$2+'Данные для расчета'!$B$4*$AI42)</f>
        <v>3215.739739739739</v>
      </c>
      <c r="AL42" s="48">
        <f>($AG42*'Данные для расчета'!$B$3+'Данные для расчета'!$B$5*$AI42)</f>
        <v>459.39139139139138</v>
      </c>
      <c r="AM42" s="48">
        <f t="shared" si="139"/>
        <v>8304.5650450450448</v>
      </c>
      <c r="AN42" s="48">
        <f>ROUND(AM42*'Данные для расчета'!$B$7,2)</f>
        <v>1827</v>
      </c>
      <c r="AO42" s="48">
        <f t="shared" si="140"/>
        <v>10131.565045045045</v>
      </c>
      <c r="AP42" s="83">
        <v>1.54</v>
      </c>
      <c r="AQ42" s="83">
        <f t="shared" si="124"/>
        <v>123.2</v>
      </c>
    </row>
    <row r="43" spans="1:43" s="83" customFormat="1" ht="15" customHeight="1" thickBot="1" x14ac:dyDescent="0.3">
      <c r="A43" s="79">
        <v>3</v>
      </c>
      <c r="B43" s="46" t="s">
        <v>171</v>
      </c>
      <c r="C43" s="46" t="s">
        <v>174</v>
      </c>
      <c r="D43" s="80"/>
      <c r="E43" s="80" t="s">
        <v>268</v>
      </c>
      <c r="F43" s="80" t="s">
        <v>173</v>
      </c>
      <c r="G43" s="84" t="s">
        <v>269</v>
      </c>
      <c r="H43" s="48" t="s">
        <v>54</v>
      </c>
      <c r="I43" s="92" t="s">
        <v>276</v>
      </c>
      <c r="J43" s="82">
        <v>1</v>
      </c>
      <c r="K43" s="82">
        <v>22</v>
      </c>
      <c r="L43" s="82">
        <f t="shared" ref="L43" si="141">K43*J43</f>
        <v>22</v>
      </c>
      <c r="M43" s="82">
        <v>10</v>
      </c>
      <c r="N43" s="83">
        <f t="shared" ref="N43" si="142">L43/M43</f>
        <v>2.2000000000000002</v>
      </c>
      <c r="O43" s="81">
        <v>1147.33</v>
      </c>
      <c r="P43" s="81">
        <v>0</v>
      </c>
      <c r="Q43" s="81">
        <v>0</v>
      </c>
      <c r="R43" s="81">
        <v>4.4400000000000004</v>
      </c>
      <c r="S43" s="81">
        <v>1</v>
      </c>
      <c r="T43" s="81">
        <f t="shared" ref="T43" si="143">O43*N43*S43</f>
        <v>2524.1260000000002</v>
      </c>
      <c r="U43" s="81">
        <f t="shared" ref="U43" si="144">P43*N43*S43</f>
        <v>0</v>
      </c>
      <c r="V43" s="81">
        <f t="shared" ref="V43" si="145">Q43*N43*S43</f>
        <v>0</v>
      </c>
      <c r="W43" s="81">
        <f t="shared" ref="W43" si="146">R43*N43</f>
        <v>9.7680000000000025</v>
      </c>
      <c r="X43" s="48">
        <f>($T43*'Данные для расчета'!$B$2+'Данные для расчета'!$B$4*$V43)</f>
        <v>1766.8882000000001</v>
      </c>
      <c r="Y43" s="48">
        <f>($T43*'Данные для расчета'!$B$3+'Данные для расчета'!$B$5*$V43)</f>
        <v>252.41260000000003</v>
      </c>
      <c r="Z43" s="81">
        <f t="shared" ref="Z43" si="147">T43+U43+W43+X43+Y43</f>
        <v>4553.1948000000002</v>
      </c>
      <c r="AA43" s="48">
        <f>ROUND(Z43*'Данные для расчета'!$B$7,2)</f>
        <v>1001.7</v>
      </c>
      <c r="AB43" s="81">
        <f t="shared" ref="AB43" si="148">Z43+AA43</f>
        <v>5554.8948</v>
      </c>
      <c r="AC43" s="81">
        <f>O43/'[4]Данные для расчета'!$B$12</f>
        <v>574.23923923923917</v>
      </c>
      <c r="AD43" s="81">
        <f t="shared" ref="AD43" si="149">P43-Q43+AE43</f>
        <v>0</v>
      </c>
      <c r="AE43" s="81">
        <f>Q43/'[4]Данные для расчета'!$B$12</f>
        <v>0</v>
      </c>
      <c r="AF43" s="81">
        <f t="shared" ref="AF43" si="150">R43</f>
        <v>4.4400000000000004</v>
      </c>
      <c r="AG43" s="81">
        <f t="shared" ref="AG43" si="151">AC43*$N43*$S43</f>
        <v>1263.3263263263264</v>
      </c>
      <c r="AH43" s="81">
        <f t="shared" ref="AH43" si="152">AD43*$N43*$S43</f>
        <v>0</v>
      </c>
      <c r="AI43" s="81">
        <f t="shared" ref="AI43" si="153">AE43*$N43*$S43</f>
        <v>0</v>
      </c>
      <c r="AJ43" s="81">
        <f t="shared" ref="AJ43" si="154">AF43*$N43*$S43</f>
        <v>9.7680000000000025</v>
      </c>
      <c r="AK43" s="48">
        <f>($AG43*'Данные для расчета'!$B$2+'Данные для расчета'!$B$4*$AI43)</f>
        <v>884.32842842842842</v>
      </c>
      <c r="AL43" s="48">
        <f>($AG43*'Данные для расчета'!$B$3+'Данные для расчета'!$B$5*$AI43)</f>
        <v>126.33263263263264</v>
      </c>
      <c r="AM43" s="48">
        <f t="shared" si="139"/>
        <v>2283.7553873873876</v>
      </c>
      <c r="AN43" s="48">
        <f>ROUND(AM43*'Данные для расчета'!$B$7,2)</f>
        <v>502.43</v>
      </c>
      <c r="AO43" s="48">
        <f t="shared" si="140"/>
        <v>2786.1853873873874</v>
      </c>
      <c r="AP43" s="83">
        <v>1.54</v>
      </c>
      <c r="AQ43" s="83">
        <f t="shared" si="124"/>
        <v>33.880000000000003</v>
      </c>
    </row>
    <row r="44" spans="1:43" s="83" customFormat="1" ht="15" customHeight="1" thickBot="1" x14ac:dyDescent="0.3">
      <c r="A44" s="79">
        <v>4</v>
      </c>
      <c r="B44" s="40" t="s">
        <v>175</v>
      </c>
      <c r="C44" s="40" t="s">
        <v>176</v>
      </c>
      <c r="D44" s="80"/>
      <c r="E44" s="80" t="s">
        <v>268</v>
      </c>
      <c r="F44" s="80" t="s">
        <v>173</v>
      </c>
      <c r="G44" s="84" t="s">
        <v>269</v>
      </c>
      <c r="H44" s="48" t="s">
        <v>54</v>
      </c>
      <c r="I44" s="92" t="s">
        <v>276</v>
      </c>
      <c r="J44" s="82">
        <v>1</v>
      </c>
      <c r="K44" s="82">
        <v>1044</v>
      </c>
      <c r="L44" s="82">
        <f t="shared" ref="L44" si="155">K44*J44</f>
        <v>1044</v>
      </c>
      <c r="M44" s="82">
        <v>10</v>
      </c>
      <c r="N44" s="83">
        <f t="shared" ref="N44" si="156">L44/M44</f>
        <v>104.4</v>
      </c>
      <c r="O44" s="81">
        <v>1147.33</v>
      </c>
      <c r="P44" s="81">
        <v>0</v>
      </c>
      <c r="Q44" s="81">
        <v>0</v>
      </c>
      <c r="R44" s="81">
        <v>4.4400000000000004</v>
      </c>
      <c r="S44" s="81">
        <v>1</v>
      </c>
      <c r="T44" s="81">
        <f t="shared" ref="T44" si="157">O44*N44*S44</f>
        <v>119781.25199999999</v>
      </c>
      <c r="U44" s="81">
        <f t="shared" ref="U44" si="158">P44*N44*S44</f>
        <v>0</v>
      </c>
      <c r="V44" s="81">
        <f t="shared" ref="V44" si="159">Q44*N44*S44</f>
        <v>0</v>
      </c>
      <c r="W44" s="81">
        <f t="shared" ref="W44" si="160">R44*N44</f>
        <v>463.53600000000006</v>
      </c>
      <c r="X44" s="48">
        <f>($T44*'Данные для расчета'!$B$2+'Данные для расчета'!$B$4*$V44)</f>
        <v>83846.876399999994</v>
      </c>
      <c r="Y44" s="48">
        <f>($T44*'Данные для расчета'!$B$3+'Данные для расчета'!$B$5*$V44)</f>
        <v>11978.1252</v>
      </c>
      <c r="Z44" s="81">
        <f t="shared" ref="Z44" si="161">T44+U44+W44+X44+Y44</f>
        <v>216069.78960000002</v>
      </c>
      <c r="AA44" s="48">
        <f>ROUND(Z44*'Данные для расчета'!$B$7,2)</f>
        <v>47535.35</v>
      </c>
      <c r="AB44" s="81">
        <f t="shared" ref="AB44" si="162">Z44+AA44</f>
        <v>263605.13959999999</v>
      </c>
      <c r="AC44" s="81">
        <f>O44/'[4]Данные для расчета'!$B$12</f>
        <v>574.23923923923917</v>
      </c>
      <c r="AD44" s="81">
        <f t="shared" ref="AD44" si="163">P44-Q44+AE44</f>
        <v>0</v>
      </c>
      <c r="AE44" s="81">
        <f>Q44/'[4]Данные для расчета'!$B$12</f>
        <v>0</v>
      </c>
      <c r="AF44" s="81">
        <f t="shared" ref="AF44" si="164">R44</f>
        <v>4.4400000000000004</v>
      </c>
      <c r="AG44" s="81">
        <f t="shared" ref="AG44" si="165">AC44*$N44*$S44</f>
        <v>59950.576576576575</v>
      </c>
      <c r="AH44" s="81">
        <f t="shared" ref="AH44" si="166">AD44*$N44*$S44</f>
        <v>0</v>
      </c>
      <c r="AI44" s="81">
        <f t="shared" ref="AI44" si="167">AE44*$N44*$S44</f>
        <v>0</v>
      </c>
      <c r="AJ44" s="81">
        <f t="shared" ref="AJ44" si="168">AF44*$N44*$S44</f>
        <v>463.53600000000006</v>
      </c>
      <c r="AK44" s="48">
        <f>($AG44*'Данные для расчета'!$B$2+'Данные для расчета'!$B$4*$AI44)</f>
        <v>41965.403603603598</v>
      </c>
      <c r="AL44" s="48">
        <f>($AG44*'Данные для расчета'!$B$3+'Данные для расчета'!$B$5*$AI44)</f>
        <v>5995.0576576576577</v>
      </c>
      <c r="AM44" s="48">
        <f t="shared" si="139"/>
        <v>108374.57383783783</v>
      </c>
      <c r="AN44" s="48">
        <f>ROUND(AM44*'Данные для расчета'!$B$7,2)</f>
        <v>23842.41</v>
      </c>
      <c r="AO44" s="48">
        <f t="shared" si="140"/>
        <v>132216.98383783782</v>
      </c>
      <c r="AP44" s="83">
        <v>1.54</v>
      </c>
      <c r="AQ44" s="83">
        <f t="shared" si="124"/>
        <v>1607.76</v>
      </c>
    </row>
    <row r="45" spans="1:43" s="77" customFormat="1" ht="15" customHeight="1" x14ac:dyDescent="0.25">
      <c r="A45" s="46">
        <v>5</v>
      </c>
      <c r="B45" s="46" t="s">
        <v>88</v>
      </c>
      <c r="C45" s="46" t="s">
        <v>89</v>
      </c>
      <c r="D45" s="74"/>
      <c r="E45" s="46" t="s">
        <v>261</v>
      </c>
      <c r="F45" s="75" t="s">
        <v>262</v>
      </c>
      <c r="G45" s="76" t="s">
        <v>263</v>
      </c>
      <c r="H45" s="48" t="s">
        <v>37</v>
      </c>
      <c r="I45" s="48" t="s">
        <v>264</v>
      </c>
      <c r="J45" s="49">
        <v>12</v>
      </c>
      <c r="K45" s="49">
        <f>1+10</f>
        <v>11</v>
      </c>
      <c r="L45" s="49">
        <f t="shared" ref="L45:L47" si="169">K45*J45</f>
        <v>132</v>
      </c>
      <c r="M45" s="49">
        <v>1</v>
      </c>
      <c r="N45">
        <f t="shared" ref="N45" si="170">L45/M45</f>
        <v>132</v>
      </c>
      <c r="O45" s="48">
        <v>139.72999999999999</v>
      </c>
      <c r="P45" s="48">
        <v>0</v>
      </c>
      <c r="Q45" s="48">
        <v>0</v>
      </c>
      <c r="R45" s="48">
        <v>0.3</v>
      </c>
      <c r="S45" s="50">
        <v>1</v>
      </c>
      <c r="T45" s="50">
        <f t="shared" ref="T45:T47" si="171">O45*N45*S45</f>
        <v>18444.359999999997</v>
      </c>
      <c r="U45" s="50">
        <f t="shared" ref="U45:U47" si="172">P45*N45*S45</f>
        <v>0</v>
      </c>
      <c r="V45" s="50">
        <f t="shared" ref="V45:V47" si="173">Q45*N45*S45</f>
        <v>0</v>
      </c>
      <c r="W45" s="48">
        <f t="shared" ref="W45:W47" si="174">R45*N45</f>
        <v>39.6</v>
      </c>
      <c r="X45" s="48">
        <f>($T45*'Данные для расчета'!$B$2+'Данные для расчета'!$B$4*$V45)</f>
        <v>12911.051999999998</v>
      </c>
      <c r="Y45" s="48">
        <f>($T45*'Данные для расчета'!$B$3+'Данные для расчета'!$B$5*$V45)</f>
        <v>1844.4359999999997</v>
      </c>
      <c r="Z45" s="48">
        <f t="shared" ref="Z45:Z47" si="175">T45+U45+W45+X45+Y45</f>
        <v>33239.447999999997</v>
      </c>
      <c r="AA45" s="48">
        <f>ROUND(Z45*'Данные для расчета'!$B$7,2)</f>
        <v>7312.68</v>
      </c>
      <c r="AB45" s="48">
        <f t="shared" ref="AB45:AB47" si="176">Z45+AA45</f>
        <v>40552.127999999997</v>
      </c>
      <c r="AC45" s="48">
        <f>O45/'[4]Данные для расчета'!$B$12</f>
        <v>69.93493493493493</v>
      </c>
      <c r="AD45" s="48">
        <f t="shared" ref="AD45:AD47" si="177">P45-Q45+AE45</f>
        <v>0</v>
      </c>
      <c r="AE45" s="48">
        <f>Q45/'[4]Данные для расчета'!$B$12</f>
        <v>0</v>
      </c>
      <c r="AF45" s="48">
        <f t="shared" ref="AF45:AF47" si="178">R45</f>
        <v>0.3</v>
      </c>
      <c r="AG45" s="50">
        <f t="shared" ref="AG45:AJ47" si="179">AC45*$N45*$S45</f>
        <v>9231.4114114114109</v>
      </c>
      <c r="AH45" s="50">
        <f t="shared" si="179"/>
        <v>0</v>
      </c>
      <c r="AI45" s="50">
        <f t="shared" si="179"/>
        <v>0</v>
      </c>
      <c r="AJ45" s="50">
        <f t="shared" si="179"/>
        <v>39.6</v>
      </c>
      <c r="AK45" s="48">
        <f>($AG45*'Данные для расчета'!$B$2+'Данные для расчета'!$B$4*$AI45)</f>
        <v>6461.9879879879873</v>
      </c>
      <c r="AL45" s="48">
        <f>($AG45*'Данные для расчета'!$B$3+'Данные для расчета'!$B$5*$AI45)</f>
        <v>923.14114114114113</v>
      </c>
      <c r="AM45" s="48">
        <f t="shared" si="139"/>
        <v>16656.140540540542</v>
      </c>
      <c r="AN45" s="48">
        <f>ROUND(AM45*'Данные для расчета'!$B$7,2)</f>
        <v>3664.35</v>
      </c>
      <c r="AO45" s="48">
        <f t="shared" si="140"/>
        <v>20320.490540540541</v>
      </c>
      <c r="AP45">
        <v>0.41</v>
      </c>
      <c r="AQ45">
        <f t="shared" si="124"/>
        <v>54.12</v>
      </c>
    </row>
    <row r="46" spans="1:43" ht="15" customHeight="1" x14ac:dyDescent="0.25">
      <c r="A46" s="46">
        <v>6</v>
      </c>
      <c r="B46" s="49" t="s">
        <v>104</v>
      </c>
      <c r="C46" s="49" t="s">
        <v>205</v>
      </c>
      <c r="D46" s="46" t="s">
        <v>193</v>
      </c>
      <c r="E46" s="46" t="s">
        <v>194</v>
      </c>
      <c r="F46" s="67" t="s">
        <v>106</v>
      </c>
      <c r="G46" s="46" t="s">
        <v>195</v>
      </c>
      <c r="H46" s="48" t="s">
        <v>37</v>
      </c>
      <c r="I46" s="48" t="s">
        <v>196</v>
      </c>
      <c r="J46" s="49">
        <v>10</v>
      </c>
      <c r="K46" s="49">
        <v>2</v>
      </c>
      <c r="L46" s="49">
        <f t="shared" si="169"/>
        <v>20</v>
      </c>
      <c r="M46" s="49">
        <v>1</v>
      </c>
      <c r="N46">
        <f>L46/M46</f>
        <v>20</v>
      </c>
      <c r="O46" s="48">
        <v>62.7</v>
      </c>
      <c r="P46" s="48">
        <v>0</v>
      </c>
      <c r="Q46" s="48">
        <v>0</v>
      </c>
      <c r="R46" s="48">
        <v>3.38</v>
      </c>
      <c r="S46" s="48">
        <v>1</v>
      </c>
      <c r="T46" s="48">
        <f t="shared" si="171"/>
        <v>1254</v>
      </c>
      <c r="U46" s="48">
        <f t="shared" si="172"/>
        <v>0</v>
      </c>
      <c r="V46" s="48">
        <f t="shared" si="173"/>
        <v>0</v>
      </c>
      <c r="W46" s="48">
        <f t="shared" si="174"/>
        <v>67.599999999999994</v>
      </c>
      <c r="X46" s="48">
        <f>($T46*'Данные для расчета'!$B$2+'Данные для расчета'!$B$4*$V46)</f>
        <v>877.8</v>
      </c>
      <c r="Y46" s="48">
        <f>($T46*'Данные для расчета'!$B$3+'Данные для расчета'!$B$5*$V46)</f>
        <v>125.4</v>
      </c>
      <c r="Z46" s="48">
        <f t="shared" si="175"/>
        <v>2324.7999999999997</v>
      </c>
      <c r="AA46" s="48">
        <f>ROUND(Z46*'Данные для расчета'!$B$7,2)</f>
        <v>511.46</v>
      </c>
      <c r="AB46" s="48">
        <f t="shared" si="176"/>
        <v>2836.2599999999998</v>
      </c>
      <c r="AC46" s="48">
        <f>O46/'[2]Данные для расчета'!$B$12</f>
        <v>31.381381381381384</v>
      </c>
      <c r="AD46" s="48">
        <f t="shared" si="177"/>
        <v>0</v>
      </c>
      <c r="AE46" s="48">
        <f>Q46/'[2]Данные для расчета'!$B$12</f>
        <v>0</v>
      </c>
      <c r="AF46" s="48">
        <f t="shared" si="178"/>
        <v>3.38</v>
      </c>
      <c r="AG46" s="48">
        <f t="shared" si="179"/>
        <v>627.6276276276277</v>
      </c>
      <c r="AH46" s="48">
        <f t="shared" si="179"/>
        <v>0</v>
      </c>
      <c r="AI46" s="48">
        <f t="shared" si="179"/>
        <v>0</v>
      </c>
      <c r="AJ46" s="48">
        <f t="shared" ref="AJ46:AJ47" si="180">AF46*$N46</f>
        <v>67.599999999999994</v>
      </c>
      <c r="AK46" s="48">
        <f>($AG46*'Данные для расчета'!$B$2+'Данные для расчета'!$B$4*$AI46)</f>
        <v>439.33933933933935</v>
      </c>
      <c r="AL46" s="48">
        <f>($AG46*'Данные для расчета'!$B$3+'Данные для расчета'!$B$5*$AI46)</f>
        <v>62.762762762762776</v>
      </c>
      <c r="AM46" s="48">
        <f t="shared" si="139"/>
        <v>1197.3297297297299</v>
      </c>
      <c r="AN46" s="48">
        <f>ROUND(AM46*'Данные для расчета'!$B$7,2)</f>
        <v>263.41000000000003</v>
      </c>
      <c r="AO46" s="48">
        <f t="shared" si="140"/>
        <v>1460.73972972973</v>
      </c>
      <c r="AP46">
        <v>0.09</v>
      </c>
      <c r="AQ46">
        <f t="shared" ref="AQ46:AQ47" si="181">L46*AP46</f>
        <v>1.7999999999999998</v>
      </c>
    </row>
    <row r="47" spans="1:43" ht="15" customHeight="1" x14ac:dyDescent="0.25">
      <c r="A47" s="46">
        <v>6</v>
      </c>
      <c r="B47" s="49" t="s">
        <v>104</v>
      </c>
      <c r="C47" s="49" t="s">
        <v>205</v>
      </c>
      <c r="D47" s="46" t="s">
        <v>193</v>
      </c>
      <c r="E47" s="46" t="s">
        <v>197</v>
      </c>
      <c r="F47" s="67" t="s">
        <v>50</v>
      </c>
      <c r="G47" s="46" t="s">
        <v>198</v>
      </c>
      <c r="H47" s="48" t="s">
        <v>33</v>
      </c>
      <c r="I47" s="48" t="s">
        <v>196</v>
      </c>
      <c r="J47" s="49">
        <v>2</v>
      </c>
      <c r="K47" s="49">
        <v>2</v>
      </c>
      <c r="L47" s="49">
        <f t="shared" si="169"/>
        <v>4</v>
      </c>
      <c r="M47" s="49">
        <v>1</v>
      </c>
      <c r="N47">
        <f t="shared" ref="N47" si="182">L47/M47</f>
        <v>4</v>
      </c>
      <c r="O47" s="48">
        <v>877.77</v>
      </c>
      <c r="P47" s="48">
        <v>0</v>
      </c>
      <c r="Q47" s="48">
        <v>0</v>
      </c>
      <c r="R47" s="48">
        <v>3.38</v>
      </c>
      <c r="S47" s="48">
        <v>1</v>
      </c>
      <c r="T47" s="48">
        <f t="shared" si="171"/>
        <v>3511.08</v>
      </c>
      <c r="U47" s="48">
        <f t="shared" si="172"/>
        <v>0</v>
      </c>
      <c r="V47" s="48">
        <f t="shared" si="173"/>
        <v>0</v>
      </c>
      <c r="W47" s="48">
        <f t="shared" si="174"/>
        <v>13.52</v>
      </c>
      <c r="X47" s="48">
        <f>($T47*'Данные для расчета'!$B$2+'Данные для расчета'!$B$4*$V47)</f>
        <v>2457.7559999999999</v>
      </c>
      <c r="Y47" s="48">
        <f>($T47*'Данные для расчета'!$B$3+'Данные для расчета'!$B$5*$V47)</f>
        <v>351.108</v>
      </c>
      <c r="Z47" s="48">
        <f t="shared" si="175"/>
        <v>6333.4639999999999</v>
      </c>
      <c r="AA47" s="48">
        <f>ROUND(Z47*'Данные для расчета'!$B$7,2)</f>
        <v>1393.36</v>
      </c>
      <c r="AB47" s="48">
        <f t="shared" si="176"/>
        <v>7726.8239999999996</v>
      </c>
      <c r="AC47" s="48">
        <f>O47/'[2]Данные для расчета'!$B$12</f>
        <v>439.32432432432432</v>
      </c>
      <c r="AD47" s="48">
        <f t="shared" si="177"/>
        <v>0</v>
      </c>
      <c r="AE47" s="48">
        <f>Q47/'[2]Данные для расчета'!$B$12</f>
        <v>0</v>
      </c>
      <c r="AF47" s="48">
        <f t="shared" si="178"/>
        <v>3.38</v>
      </c>
      <c r="AG47" s="48">
        <f t="shared" si="179"/>
        <v>1757.2972972972973</v>
      </c>
      <c r="AH47" s="48">
        <f t="shared" si="179"/>
        <v>0</v>
      </c>
      <c r="AI47" s="48">
        <f t="shared" si="179"/>
        <v>0</v>
      </c>
      <c r="AJ47" s="48">
        <f t="shared" si="180"/>
        <v>13.52</v>
      </c>
      <c r="AK47" s="48">
        <f>($AG47*'Данные для расчета'!$B$2+'Данные для расчета'!$B$4*$AI47)</f>
        <v>1230.1081081081081</v>
      </c>
      <c r="AL47" s="48">
        <f>($AG47*'Данные для расчета'!$B$3+'Данные для расчета'!$B$5*$AI47)</f>
        <v>175.72972972972974</v>
      </c>
      <c r="AM47" s="48">
        <f t="shared" si="139"/>
        <v>3176.655135135135</v>
      </c>
      <c r="AN47" s="48">
        <f>ROUND(AM47*'Данные для расчета'!$B$7,2)</f>
        <v>698.86</v>
      </c>
      <c r="AO47" s="48">
        <f t="shared" si="140"/>
        <v>3875.5151351351351</v>
      </c>
      <c r="AP47">
        <v>1.26</v>
      </c>
      <c r="AQ47">
        <f t="shared" si="181"/>
        <v>5.04</v>
      </c>
    </row>
    <row r="48" spans="1:43" ht="15" customHeight="1" thickBot="1" x14ac:dyDescent="0.3">
      <c r="A48" s="46" t="s">
        <v>288</v>
      </c>
      <c r="B48" s="49" t="s">
        <v>270</v>
      </c>
      <c r="C48" s="49" t="s">
        <v>271</v>
      </c>
      <c r="D48" s="46" t="s">
        <v>193</v>
      </c>
      <c r="E48" s="46" t="s">
        <v>272</v>
      </c>
      <c r="F48" s="67" t="s">
        <v>164</v>
      </c>
      <c r="G48" s="46" t="s">
        <v>255</v>
      </c>
      <c r="H48" s="48" t="s">
        <v>54</v>
      </c>
      <c r="I48" s="92" t="s">
        <v>276</v>
      </c>
      <c r="J48" s="49">
        <v>1</v>
      </c>
      <c r="K48" s="49">
        <v>127</v>
      </c>
      <c r="L48" s="49">
        <f t="shared" ref="L48:L49" si="183">K48*J48</f>
        <v>127</v>
      </c>
      <c r="M48" s="49">
        <v>10</v>
      </c>
      <c r="N48">
        <f t="shared" ref="N48" si="184">L48/M48</f>
        <v>12.7</v>
      </c>
      <c r="O48" s="48">
        <v>633.27</v>
      </c>
      <c r="P48" s="48">
        <v>0</v>
      </c>
      <c r="Q48" s="48">
        <v>0</v>
      </c>
      <c r="R48" s="48">
        <v>1.48</v>
      </c>
      <c r="S48" s="48">
        <v>1</v>
      </c>
      <c r="T48" s="48">
        <f t="shared" ref="T48" si="185">O48*N48*S48</f>
        <v>8042.5289999999995</v>
      </c>
      <c r="U48" s="48">
        <f t="shared" ref="U48" si="186">P48*N48*S48</f>
        <v>0</v>
      </c>
      <c r="V48" s="48">
        <f t="shared" ref="V48" si="187">Q48*N48*S48</f>
        <v>0</v>
      </c>
      <c r="W48" s="48">
        <f t="shared" ref="W48" si="188">R48*N48</f>
        <v>18.795999999999999</v>
      </c>
      <c r="X48" s="48">
        <f>($T48*'Данные для расчета'!$B$2+'Данные для расчета'!$B$4*$V48)</f>
        <v>5629.7702999999992</v>
      </c>
      <c r="Y48" s="48">
        <f>($T48*'Данные для расчета'!$B$3+'Данные для расчета'!$B$5*$V48)</f>
        <v>804.25289999999995</v>
      </c>
      <c r="Z48" s="48">
        <f t="shared" ref="Z48" si="189">T48+U48+W48+X48+Y48</f>
        <v>14495.348199999999</v>
      </c>
      <c r="AA48" s="48">
        <f>ROUND(Z48*'Данные для расчета'!$B$7,2)</f>
        <v>3188.98</v>
      </c>
      <c r="AB48" s="48">
        <f t="shared" ref="AB48" si="190">Z48+AA48</f>
        <v>17684.3282</v>
      </c>
      <c r="AC48" s="48">
        <f>O48/'[2]Данные для расчета'!$B$12</f>
        <v>316.95195195195197</v>
      </c>
      <c r="AD48" s="48">
        <f t="shared" ref="AD48" si="191">P48-Q48+AE48</f>
        <v>0</v>
      </c>
      <c r="AE48" s="48">
        <f>Q48/'[2]Данные для расчета'!$B$12</f>
        <v>0</v>
      </c>
      <c r="AF48" s="48">
        <f t="shared" ref="AF48" si="192">R48</f>
        <v>1.48</v>
      </c>
      <c r="AG48" s="48">
        <f t="shared" ref="AG48" si="193">AC48*$N48*$S48</f>
        <v>4025.2897897897897</v>
      </c>
      <c r="AH48" s="48">
        <f t="shared" ref="AH48" si="194">AD48*$N48*$S48</f>
        <v>0</v>
      </c>
      <c r="AI48" s="48">
        <f t="shared" ref="AI48" si="195">AE48*$N48*$S48</f>
        <v>0</v>
      </c>
      <c r="AJ48" s="48">
        <f t="shared" ref="AJ48" si="196">AF48*$N48</f>
        <v>18.795999999999999</v>
      </c>
      <c r="AK48" s="48">
        <f>($AG48*'Данные для расчета'!$B$2+'Данные для расчета'!$B$4*$AI48)</f>
        <v>2817.7028528528526</v>
      </c>
      <c r="AL48" s="48">
        <f>($AG48*'Данные для расчета'!$B$3+'Данные для расчета'!$B$5*$AI48)</f>
        <v>402.52897897897901</v>
      </c>
      <c r="AM48" s="48">
        <f t="shared" si="139"/>
        <v>7264.3176216216216</v>
      </c>
      <c r="AN48" s="48">
        <f>ROUND(AM48*'Данные для расчета'!$B$7,2)</f>
        <v>1598.15</v>
      </c>
      <c r="AO48" s="48">
        <f t="shared" si="140"/>
        <v>8862.4676216216212</v>
      </c>
      <c r="AP48">
        <v>1.26</v>
      </c>
      <c r="AQ48">
        <f t="shared" ref="AQ48" si="197">L48*AP48</f>
        <v>160.02000000000001</v>
      </c>
    </row>
    <row r="49" spans="1:43" ht="15.75" thickBot="1" x14ac:dyDescent="0.3">
      <c r="A49" s="93">
        <v>11</v>
      </c>
      <c r="B49" s="40" t="s">
        <v>186</v>
      </c>
      <c r="C49" s="40" t="s">
        <v>182</v>
      </c>
      <c r="E49" s="89" t="s">
        <v>275</v>
      </c>
      <c r="F49" s="67" t="s">
        <v>273</v>
      </c>
      <c r="G49" s="46" t="s">
        <v>274</v>
      </c>
      <c r="H49" s="48" t="s">
        <v>54</v>
      </c>
      <c r="I49" s="92" t="s">
        <v>276</v>
      </c>
      <c r="J49" s="90">
        <v>1</v>
      </c>
      <c r="K49" s="90">
        <v>65</v>
      </c>
      <c r="L49" s="91">
        <f t="shared" si="183"/>
        <v>65</v>
      </c>
      <c r="M49" s="49">
        <v>10</v>
      </c>
      <c r="N49">
        <f t="shared" ref="N49" si="198">L49/M49</f>
        <v>6.5</v>
      </c>
      <c r="O49" s="48">
        <v>117.06</v>
      </c>
      <c r="P49" s="48">
        <v>0</v>
      </c>
      <c r="Q49" s="48">
        <v>0</v>
      </c>
      <c r="R49" s="48">
        <v>0.3</v>
      </c>
      <c r="S49" s="48">
        <v>1</v>
      </c>
      <c r="T49" s="48">
        <f t="shared" ref="T49" si="199">O49*N49*S49</f>
        <v>760.89</v>
      </c>
      <c r="U49" s="48">
        <f t="shared" ref="U49" si="200">P49*N49*S49</f>
        <v>0</v>
      </c>
      <c r="V49" s="48">
        <f t="shared" ref="V49" si="201">Q49*N49*S49</f>
        <v>0</v>
      </c>
      <c r="W49" s="48">
        <f t="shared" ref="W49" si="202">R49*N49</f>
        <v>1.95</v>
      </c>
      <c r="X49" s="48">
        <f>($T49*'Данные для расчета'!$B$2+'Данные для расчета'!$B$4*$V49)</f>
        <v>532.62299999999993</v>
      </c>
      <c r="Y49" s="48">
        <f>($T49*'Данные для расчета'!$B$3+'Данные для расчета'!$B$5*$V49)</f>
        <v>76.088999999999999</v>
      </c>
      <c r="Z49" s="48">
        <f t="shared" ref="Z49" si="203">T49+U49+W49+X49+Y49</f>
        <v>1371.5519999999999</v>
      </c>
      <c r="AA49" s="48">
        <f>ROUND(Z49*'Данные для расчета'!$B$7,2)</f>
        <v>301.74</v>
      </c>
      <c r="AB49" s="48">
        <f t="shared" ref="AB49" si="204">Z49+AA49</f>
        <v>1673.2919999999999</v>
      </c>
      <c r="AC49" s="48">
        <f>O49/'[2]Данные для расчета'!$B$12</f>
        <v>58.588588588588593</v>
      </c>
      <c r="AD49" s="48">
        <f t="shared" ref="AD49" si="205">P49-Q49+AE49</f>
        <v>0</v>
      </c>
      <c r="AE49" s="48">
        <f>Q49/'[2]Данные для расчета'!$B$12</f>
        <v>0</v>
      </c>
      <c r="AF49" s="48">
        <f t="shared" ref="AF49" si="206">R49</f>
        <v>0.3</v>
      </c>
      <c r="AG49" s="48">
        <f t="shared" ref="AG49" si="207">AC49*$N49*$S49</f>
        <v>380.82582582582586</v>
      </c>
      <c r="AH49" s="48">
        <f t="shared" ref="AH49" si="208">AD49*$N49*$S49</f>
        <v>0</v>
      </c>
      <c r="AI49" s="48">
        <f t="shared" ref="AI49" si="209">AE49*$N49*$S49</f>
        <v>0</v>
      </c>
      <c r="AJ49" s="48">
        <f t="shared" ref="AJ49" si="210">AF49*$N49</f>
        <v>1.95</v>
      </c>
      <c r="AK49" s="48">
        <f>($AG49*'Данные для расчета'!$B$2+'Данные для расчета'!$B$4*$AI49)</f>
        <v>266.57807807807808</v>
      </c>
      <c r="AL49" s="48">
        <f>($AG49*'Данные для расчета'!$B$3+'Данные для расчета'!$B$5*$AI49)</f>
        <v>38.082582582582589</v>
      </c>
      <c r="AM49" s="48">
        <f t="shared" si="139"/>
        <v>687.43648648648661</v>
      </c>
      <c r="AN49" s="48">
        <f>ROUND(AM49*'Данные для расчета'!$B$7,2)</f>
        <v>151.24</v>
      </c>
      <c r="AO49" s="48">
        <f t="shared" si="140"/>
        <v>838.67648648648662</v>
      </c>
      <c r="AP49">
        <v>0.22</v>
      </c>
      <c r="AQ49">
        <f t="shared" ref="AQ49" si="211">L49*AP49</f>
        <v>14.3</v>
      </c>
    </row>
    <row r="50" spans="1:43" x14ac:dyDescent="0.25">
      <c r="AB50" s="88">
        <f>SUM(AB40:AB49)</f>
        <v>370744.60259999998</v>
      </c>
      <c r="AO50" s="88">
        <f>SUM(AO40:AO49)</f>
        <v>185963.89441441439</v>
      </c>
    </row>
    <row r="51" spans="1:43" x14ac:dyDescent="0.25">
      <c r="B51" s="1" t="s">
        <v>259</v>
      </c>
      <c r="K51" s="73" t="e">
        <f>K15+#REF!+K21+K22</f>
        <v>#REF!</v>
      </c>
      <c r="AB51" s="86">
        <f>AB50+AB39</f>
        <v>3368387.7068075207</v>
      </c>
      <c r="AO51" s="87">
        <f>AO39+AO50</f>
        <v>1707086.2779706181</v>
      </c>
    </row>
  </sheetData>
  <autoFilter ref="A2:AP2" xr:uid="{00000000-0009-0000-0000-000001000000}"/>
  <phoneticPr fontId="19" type="noConversion"/>
  <pageMargins left="0.75" right="0.75" top="1" bottom="1" header="0.511811023622047" footer="0.511811023622047"/>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3</vt:i4>
      </vt:variant>
    </vt:vector>
  </HeadingPairs>
  <TitlesOfParts>
    <vt:vector size="3" baseType="lpstr">
      <vt:lpstr>Сводная таблица</vt:lpstr>
      <vt:lpstr>Данные для расчета</vt:lpstr>
      <vt:lpstr>АПС СН-2012 расчёт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2026-07-01T08:03:24Z</dcterms:created>
  <dcterms:modified xsi:type="dcterms:W3CDTF">2026-07-22T10:56:46Z</dcterms:modified>
  <dc:language>en-US</dc:language>
</cp:coreProperties>
</file>