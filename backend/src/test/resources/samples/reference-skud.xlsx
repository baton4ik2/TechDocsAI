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lat\Downloads\"/>
    </mc:Choice>
  </mc:AlternateContent>
  <bookViews>
    <workbookView xWindow="0" yWindow="0" windowWidth="16380" windowHeight="8190" tabRatio="500" activeTab="1"/>
  </bookViews>
  <sheets>
    <sheet name="Данные для расчета" sheetId="1" r:id="rId1"/>
    <sheet name="СКУД СН-2012 расчёт" sheetId="2" r:id="rId2"/>
    <sheet name="Спецификация" sheetId="3" r:id="rId3"/>
  </sheets>
  <definedNames>
    <definedName name="_xlnm._FilterDatabase" localSheetId="1" hidden="1">'СКУД СН-2012 расчёт'!$A$2:$AP$18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O6" i="2" l="1"/>
  <c r="F35" i="3" l="1"/>
  <c r="AF27" i="2"/>
  <c r="AC27" i="2"/>
  <c r="L27" i="2"/>
  <c r="N27" i="2" s="1"/>
  <c r="AF26" i="2"/>
  <c r="L26" i="2"/>
  <c r="N26" i="2" s="1"/>
  <c r="AQ26" i="2" s="1"/>
  <c r="AF25" i="2"/>
  <c r="L25" i="2"/>
  <c r="N25" i="2" s="1"/>
  <c r="AF24" i="2"/>
  <c r="L24" i="2"/>
  <c r="N24" i="2" s="1"/>
  <c r="AF23" i="2"/>
  <c r="L23" i="2"/>
  <c r="N23" i="2" s="1"/>
  <c r="V23" i="2" s="1"/>
  <c r="AF21" i="2"/>
  <c r="L21" i="2"/>
  <c r="N21" i="2" s="1"/>
  <c r="AF20" i="2"/>
  <c r="L20" i="2"/>
  <c r="N20" i="2" s="1"/>
  <c r="AF19" i="2"/>
  <c r="L19" i="2"/>
  <c r="N19" i="2" s="1"/>
  <c r="AF18" i="2"/>
  <c r="L18" i="2"/>
  <c r="N18" i="2" s="1"/>
  <c r="AF17" i="2"/>
  <c r="L17" i="2"/>
  <c r="N17" i="2" s="1"/>
  <c r="AF16" i="2"/>
  <c r="L16" i="2"/>
  <c r="N16" i="2" s="1"/>
  <c r="AF15" i="2"/>
  <c r="L15" i="2"/>
  <c r="N15" i="2" s="1"/>
  <c r="AF14" i="2"/>
  <c r="L14" i="2"/>
  <c r="N14" i="2" s="1"/>
  <c r="AF13" i="2"/>
  <c r="L13" i="2"/>
  <c r="N13" i="2" s="1"/>
  <c r="AF12" i="2"/>
  <c r="L12" i="2"/>
  <c r="N12" i="2" s="1"/>
  <c r="AQ12" i="2" s="1"/>
  <c r="AF11" i="2"/>
  <c r="L11" i="2"/>
  <c r="N11" i="2" s="1"/>
  <c r="V11" i="2" s="1"/>
  <c r="AF10" i="2"/>
  <c r="L10" i="2"/>
  <c r="N10" i="2" s="1"/>
  <c r="AF9" i="2"/>
  <c r="L9" i="2"/>
  <c r="N9" i="2" s="1"/>
  <c r="AF8" i="2"/>
  <c r="L8" i="2"/>
  <c r="N8" i="2" s="1"/>
  <c r="AF7" i="2"/>
  <c r="L7" i="2"/>
  <c r="N7" i="2" s="1"/>
  <c r="AF6" i="2"/>
  <c r="L6" i="2"/>
  <c r="N6" i="2" s="1"/>
  <c r="W6" i="2" s="1"/>
  <c r="AF5" i="2"/>
  <c r="L5" i="2"/>
  <c r="N5" i="2" s="1"/>
  <c r="AF4" i="2"/>
  <c r="L4" i="2"/>
  <c r="N4" i="2" s="1"/>
  <c r="AQ4" i="2" s="1"/>
  <c r="B12" i="1"/>
  <c r="AE25" i="2" s="1"/>
  <c r="AJ16" i="2" l="1"/>
  <c r="AJ5" i="2"/>
  <c r="U21" i="2"/>
  <c r="W21" i="2"/>
  <c r="AJ9" i="2"/>
  <c r="AJ4" i="2"/>
  <c r="AJ21" i="2"/>
  <c r="AJ10" i="2"/>
  <c r="T10" i="2"/>
  <c r="X10" i="2" s="1"/>
  <c r="U10" i="2"/>
  <c r="W10" i="2"/>
  <c r="AQ24" i="2"/>
  <c r="V24" i="2"/>
  <c r="W24" i="2"/>
  <c r="U24" i="2"/>
  <c r="W7" i="2"/>
  <c r="AJ7" i="2"/>
  <c r="V7" i="2"/>
  <c r="AJ13" i="2"/>
  <c r="AG27" i="2"/>
  <c r="V12" i="2"/>
  <c r="AJ26" i="2"/>
  <c r="AJ24" i="2"/>
  <c r="AJ12" i="2"/>
  <c r="U12" i="2"/>
  <c r="AI25" i="2"/>
  <c r="AD25" i="2"/>
  <c r="AH25" i="2" s="1"/>
  <c r="AJ17" i="2"/>
  <c r="W17" i="2"/>
  <c r="V17" i="2"/>
  <c r="U17" i="2"/>
  <c r="T17" i="2"/>
  <c r="AQ17" i="2"/>
  <c r="U14" i="2"/>
  <c r="W14" i="2"/>
  <c r="V14" i="2"/>
  <c r="T14" i="2"/>
  <c r="AQ14" i="2"/>
  <c r="AE14" i="2"/>
  <c r="AJ27" i="2"/>
  <c r="W5" i="2"/>
  <c r="V5" i="2"/>
  <c r="U5" i="2"/>
  <c r="T5" i="2"/>
  <c r="AQ5" i="2"/>
  <c r="V20" i="2"/>
  <c r="U20" i="2"/>
  <c r="T20" i="2"/>
  <c r="AQ20" i="2"/>
  <c r="W20" i="2"/>
  <c r="W25" i="2"/>
  <c r="U25" i="2"/>
  <c r="V25" i="2"/>
  <c r="T25" i="2"/>
  <c r="AQ25" i="2"/>
  <c r="AJ11" i="2"/>
  <c r="V6" i="2"/>
  <c r="U6" i="2"/>
  <c r="T6" i="2"/>
  <c r="AQ6" i="2"/>
  <c r="AJ14" i="2"/>
  <c r="W4" i="2"/>
  <c r="V4" i="2"/>
  <c r="U4" i="2"/>
  <c r="T4" i="2"/>
  <c r="U9" i="2"/>
  <c r="T9" i="2"/>
  <c r="AQ9" i="2"/>
  <c r="W9" i="2"/>
  <c r="AJ15" i="2"/>
  <c r="AJ18" i="2"/>
  <c r="V8" i="2"/>
  <c r="U8" i="2"/>
  <c r="T8" i="2"/>
  <c r="AQ8" i="2"/>
  <c r="AJ8" i="2"/>
  <c r="W19" i="2"/>
  <c r="V19" i="2"/>
  <c r="U19" i="2"/>
  <c r="T19" i="2"/>
  <c r="AQ19" i="2"/>
  <c r="AJ19" i="2"/>
  <c r="T15" i="2"/>
  <c r="W15" i="2"/>
  <c r="V15" i="2"/>
  <c r="U15" i="2"/>
  <c r="AJ6" i="2"/>
  <c r="V9" i="2"/>
  <c r="AQ15" i="2"/>
  <c r="AJ20" i="2"/>
  <c r="AJ25" i="2"/>
  <c r="T11" i="2"/>
  <c r="AQ11" i="2"/>
  <c r="W11" i="2"/>
  <c r="U11" i="2"/>
  <c r="T23" i="2"/>
  <c r="AQ23" i="2"/>
  <c r="AJ23" i="2"/>
  <c r="W23" i="2"/>
  <c r="U23" i="2"/>
  <c r="W18" i="2"/>
  <c r="V18" i="2"/>
  <c r="U18" i="2"/>
  <c r="T18" i="2"/>
  <c r="AQ18" i="2"/>
  <c r="W16" i="2"/>
  <c r="AQ16" i="2"/>
  <c r="V16" i="2"/>
  <c r="U16" i="2"/>
  <c r="T16" i="2"/>
  <c r="W26" i="2"/>
  <c r="V26" i="2"/>
  <c r="T26" i="2"/>
  <c r="U26" i="2"/>
  <c r="W8" i="2"/>
  <c r="W27" i="2"/>
  <c r="AQ27" i="2"/>
  <c r="V27" i="2"/>
  <c r="U27" i="2"/>
  <c r="T27" i="2"/>
  <c r="AC25" i="2"/>
  <c r="AG25" i="2" s="1"/>
  <c r="AE24" i="2"/>
  <c r="AE12" i="2"/>
  <c r="AE23" i="2"/>
  <c r="AC13" i="2"/>
  <c r="AG13" i="2" s="1"/>
  <c r="AE11" i="2"/>
  <c r="AC24" i="2"/>
  <c r="AG24" i="2" s="1"/>
  <c r="AE21" i="2"/>
  <c r="AC12" i="2"/>
  <c r="AG12" i="2" s="1"/>
  <c r="AE10" i="2"/>
  <c r="AC23" i="2"/>
  <c r="AG23" i="2" s="1"/>
  <c r="AE20" i="2"/>
  <c r="AC11" i="2"/>
  <c r="AG11" i="2" s="1"/>
  <c r="AE9" i="2"/>
  <c r="AE26" i="2"/>
  <c r="AC21" i="2"/>
  <c r="AG21" i="2" s="1"/>
  <c r="AE19" i="2"/>
  <c r="AC10" i="2"/>
  <c r="AG10" i="2" s="1"/>
  <c r="AE8" i="2"/>
  <c r="AC20" i="2"/>
  <c r="AG20" i="2" s="1"/>
  <c r="AC9" i="2"/>
  <c r="AG9" i="2" s="1"/>
  <c r="AE7" i="2"/>
  <c r="AE27" i="2"/>
  <c r="AE16" i="2"/>
  <c r="AE4" i="2"/>
  <c r="AC19" i="2"/>
  <c r="AG19" i="2" s="1"/>
  <c r="AE18" i="2"/>
  <c r="AC8" i="2"/>
  <c r="AG8" i="2" s="1"/>
  <c r="AE6" i="2"/>
  <c r="AE15" i="2"/>
  <c r="AE17" i="2"/>
  <c r="AC7" i="2"/>
  <c r="AG7" i="2" s="1"/>
  <c r="AE5" i="2"/>
  <c r="AC18" i="2"/>
  <c r="AG18" i="2" s="1"/>
  <c r="AC6" i="2"/>
  <c r="AG6" i="2" s="1"/>
  <c r="AC17" i="2"/>
  <c r="AG17" i="2" s="1"/>
  <c r="AC26" i="2"/>
  <c r="AG26" i="2" s="1"/>
  <c r="AC15" i="2"/>
  <c r="AG15" i="2" s="1"/>
  <c r="AE13" i="2"/>
  <c r="AC14" i="2"/>
  <c r="AG14" i="2" s="1"/>
  <c r="AC5" i="2"/>
  <c r="AG5" i="2" s="1"/>
  <c r="AQ13" i="2"/>
  <c r="V13" i="2"/>
  <c r="U13" i="2"/>
  <c r="W13" i="2"/>
  <c r="AC4" i="2"/>
  <c r="AG4" i="2" s="1"/>
  <c r="T13" i="2"/>
  <c r="AC16" i="2"/>
  <c r="AG16" i="2" s="1"/>
  <c r="V10" i="2"/>
  <c r="T12" i="2"/>
  <c r="V21" i="2"/>
  <c r="T24" i="2"/>
  <c r="W12" i="2"/>
  <c r="AQ7" i="2"/>
  <c r="T7" i="2"/>
  <c r="U7" i="2"/>
  <c r="AQ10" i="2"/>
  <c r="AQ21" i="2"/>
  <c r="T21" i="2"/>
  <c r="Y10" i="2" l="1"/>
  <c r="AJ29" i="2"/>
  <c r="AQ29" i="2"/>
  <c r="Z10" i="2"/>
  <c r="AA10" i="2" s="1"/>
  <c r="AB10" i="2" s="1"/>
  <c r="AD10" i="2"/>
  <c r="AH10" i="2" s="1"/>
  <c r="AI10" i="2"/>
  <c r="AK10" i="2" s="1"/>
  <c r="Y25" i="2"/>
  <c r="X25" i="2"/>
  <c r="AD13" i="2"/>
  <c r="AH13" i="2" s="1"/>
  <c r="AI13" i="2"/>
  <c r="AL13" i="2" s="1"/>
  <c r="AI15" i="2"/>
  <c r="AK15" i="2" s="1"/>
  <c r="AD15" i="2"/>
  <c r="AH15" i="2" s="1"/>
  <c r="AD21" i="2"/>
  <c r="AH21" i="2" s="1"/>
  <c r="AI21" i="2"/>
  <c r="X19" i="2"/>
  <c r="Y19" i="2"/>
  <c r="X6" i="2"/>
  <c r="Y6" i="2"/>
  <c r="AD6" i="2"/>
  <c r="AH6" i="2" s="1"/>
  <c r="AI6" i="2"/>
  <c r="AL6" i="2" s="1"/>
  <c r="AD11" i="2"/>
  <c r="AH11" i="2" s="1"/>
  <c r="AI11" i="2"/>
  <c r="AL11" i="2" s="1"/>
  <c r="Y16" i="2"/>
  <c r="X16" i="2"/>
  <c r="AI19" i="2"/>
  <c r="AL19" i="2" s="1"/>
  <c r="AD19" i="2"/>
  <c r="AH19" i="2" s="1"/>
  <c r="Y9" i="2"/>
  <c r="X9" i="2"/>
  <c r="Y14" i="2"/>
  <c r="X14" i="2"/>
  <c r="AI18" i="2"/>
  <c r="AK18" i="2" s="1"/>
  <c r="AD18" i="2"/>
  <c r="AH18" i="2" s="1"/>
  <c r="AD23" i="2"/>
  <c r="AH23" i="2" s="1"/>
  <c r="AI23" i="2"/>
  <c r="AK23" i="2" s="1"/>
  <c r="Y26" i="2"/>
  <c r="X26" i="2"/>
  <c r="X23" i="2"/>
  <c r="Y23" i="2"/>
  <c r="Y20" i="2"/>
  <c r="X20" i="2"/>
  <c r="Z20" i="2" s="1"/>
  <c r="AI14" i="2"/>
  <c r="AL14" i="2" s="1"/>
  <c r="AD14" i="2"/>
  <c r="AH14" i="2" s="1"/>
  <c r="AI26" i="2"/>
  <c r="AL26" i="2" s="1"/>
  <c r="AD26" i="2"/>
  <c r="AH26" i="2" s="1"/>
  <c r="X4" i="2"/>
  <c r="T29" i="2"/>
  <c r="Y4" i="2"/>
  <c r="AD9" i="2"/>
  <c r="AH9" i="2" s="1"/>
  <c r="AI9" i="2"/>
  <c r="AL9" i="2" s="1"/>
  <c r="AD12" i="2"/>
  <c r="AH12" i="2" s="1"/>
  <c r="AI12" i="2"/>
  <c r="AL12" i="2" s="1"/>
  <c r="X8" i="2"/>
  <c r="Y8" i="2"/>
  <c r="U29" i="2"/>
  <c r="X11" i="2"/>
  <c r="Y11" i="2"/>
  <c r="AK21" i="2"/>
  <c r="AL21" i="2"/>
  <c r="AI5" i="2"/>
  <c r="AK5" i="2" s="1"/>
  <c r="AD5" i="2"/>
  <c r="AH5" i="2" s="1"/>
  <c r="AD16" i="2"/>
  <c r="AH16" i="2" s="1"/>
  <c r="AI16" i="2"/>
  <c r="AK16" i="2" s="1"/>
  <c r="AD24" i="2"/>
  <c r="AH24" i="2" s="1"/>
  <c r="AI24" i="2"/>
  <c r="AL24" i="2" s="1"/>
  <c r="Y18" i="2"/>
  <c r="X18" i="2"/>
  <c r="V29" i="2"/>
  <c r="Y12" i="2"/>
  <c r="X12" i="2"/>
  <c r="Y17" i="2"/>
  <c r="X17" i="2"/>
  <c r="X21" i="2"/>
  <c r="Y21" i="2"/>
  <c r="Z21" i="2" s="1"/>
  <c r="AG29" i="2"/>
  <c r="AI4" i="2"/>
  <c r="AK4" i="2" s="1"/>
  <c r="AD4" i="2"/>
  <c r="AH4" i="2" s="1"/>
  <c r="Y7" i="2"/>
  <c r="X7" i="2"/>
  <c r="AI27" i="2"/>
  <c r="AD27" i="2"/>
  <c r="AH27" i="2" s="1"/>
  <c r="AD20" i="2"/>
  <c r="AH20" i="2" s="1"/>
  <c r="AI20" i="2"/>
  <c r="AL20" i="2" s="1"/>
  <c r="AL25" i="2"/>
  <c r="AK25" i="2"/>
  <c r="AM25" i="2" s="1"/>
  <c r="Y15" i="2"/>
  <c r="X15" i="2"/>
  <c r="W29" i="2"/>
  <c r="Y5" i="2"/>
  <c r="X5" i="2"/>
  <c r="Z5" i="2" s="1"/>
  <c r="Y24" i="2"/>
  <c r="X24" i="2"/>
  <c r="AD8" i="2"/>
  <c r="AH8" i="2" s="1"/>
  <c r="AI8" i="2"/>
  <c r="AL8" i="2" s="1"/>
  <c r="Y13" i="2"/>
  <c r="X13" i="2"/>
  <c r="AI17" i="2"/>
  <c r="AL17" i="2" s="1"/>
  <c r="AD17" i="2"/>
  <c r="AH17" i="2" s="1"/>
  <c r="AI7" i="2"/>
  <c r="AK7" i="2" s="1"/>
  <c r="AD7" i="2"/>
  <c r="AH7" i="2" s="1"/>
  <c r="Y27" i="2"/>
  <c r="X27" i="2"/>
  <c r="Z27" i="2" s="1"/>
  <c r="Z23" i="2" l="1"/>
  <c r="AM21" i="2"/>
  <c r="AL23" i="2"/>
  <c r="AM23" i="2" s="1"/>
  <c r="AN23" i="2" s="1"/>
  <c r="AO23" i="2" s="1"/>
  <c r="AL15" i="2"/>
  <c r="Z15" i="2"/>
  <c r="AK6" i="2"/>
  <c r="AM6" i="2" s="1"/>
  <c r="Z13" i="2"/>
  <c r="Z17" i="2"/>
  <c r="Z8" i="2"/>
  <c r="AA8" i="2" s="1"/>
  <c r="AB8" i="2" s="1"/>
  <c r="AL18" i="2"/>
  <c r="AM18" i="2" s="1"/>
  <c r="AN18" i="2" s="1"/>
  <c r="AO18" i="2" s="1"/>
  <c r="Z12" i="2"/>
  <c r="AA12" i="2" s="1"/>
  <c r="AB12" i="2" s="1"/>
  <c r="Z18" i="2"/>
  <c r="AA18" i="2" s="1"/>
  <c r="AB18" i="2" s="1"/>
  <c r="Z4" i="2"/>
  <c r="AA4" i="2" s="1"/>
  <c r="Z11" i="2"/>
  <c r="AA11" i="2" s="1"/>
  <c r="AB11" i="2" s="1"/>
  <c r="AL16" i="2"/>
  <c r="AM15" i="2"/>
  <c r="AN15" i="2" s="1"/>
  <c r="AO15" i="2" s="1"/>
  <c r="AK8" i="2"/>
  <c r="AM8" i="2" s="1"/>
  <c r="AN8" i="2" s="1"/>
  <c r="AO8" i="2" s="1"/>
  <c r="Z6" i="2"/>
  <c r="AA6" i="2" s="1"/>
  <c r="AB6" i="2" s="1"/>
  <c r="Z24" i="2"/>
  <c r="AA24" i="2" s="1"/>
  <c r="AB24" i="2" s="1"/>
  <c r="Z14" i="2"/>
  <c r="AL10" i="2"/>
  <c r="AM10" i="2" s="1"/>
  <c r="AN10" i="2" s="1"/>
  <c r="AO10" i="2" s="1"/>
  <c r="AK9" i="2"/>
  <c r="AM9" i="2" s="1"/>
  <c r="AN9" i="2" s="1"/>
  <c r="AO9" i="2" s="1"/>
  <c r="Z19" i="2"/>
  <c r="AA19" i="2" s="1"/>
  <c r="AB19" i="2" s="1"/>
  <c r="Z9" i="2"/>
  <c r="AL5" i="2"/>
  <c r="AM5" i="2" s="1"/>
  <c r="AK11" i="2"/>
  <c r="AM11" i="2" s="1"/>
  <c r="AN11" i="2" s="1"/>
  <c r="AO11" i="2" s="1"/>
  <c r="Z7" i="2"/>
  <c r="AA7" i="2" s="1"/>
  <c r="AB7" i="2" s="1"/>
  <c r="AM16" i="2"/>
  <c r="AN16" i="2" s="1"/>
  <c r="Z26" i="2"/>
  <c r="AA26" i="2" s="1"/>
  <c r="AB26" i="2" s="1"/>
  <c r="Z16" i="2"/>
  <c r="AA16" i="2" s="1"/>
  <c r="AB16" i="2" s="1"/>
  <c r="Z25" i="2"/>
  <c r="AA25" i="2" s="1"/>
  <c r="AB25" i="2" s="1"/>
  <c r="AA14" i="2"/>
  <c r="AB14" i="2" s="1"/>
  <c r="AA27" i="2"/>
  <c r="AB27" i="2" s="1"/>
  <c r="AA13" i="2"/>
  <c r="AB13" i="2" s="1"/>
  <c r="AN25" i="2"/>
  <c r="AO25" i="2" s="1"/>
  <c r="AI29" i="2"/>
  <c r="Y29" i="2"/>
  <c r="X29" i="2"/>
  <c r="AK14" i="2"/>
  <c r="AM14" i="2" s="1"/>
  <c r="AL27" i="2"/>
  <c r="AK27" i="2"/>
  <c r="AL4" i="2"/>
  <c r="AM4" i="2" s="1"/>
  <c r="AL7" i="2"/>
  <c r="AM7" i="2" s="1"/>
  <c r="AK24" i="2"/>
  <c r="AM24" i="2" s="1"/>
  <c r="AA15" i="2"/>
  <c r="AB15" i="2" s="1"/>
  <c r="AK17" i="2"/>
  <c r="AM17" i="2" s="1"/>
  <c r="AA23" i="2"/>
  <c r="AB23" i="2" s="1"/>
  <c r="AA5" i="2"/>
  <c r="AB5" i="2" s="1"/>
  <c r="AK20" i="2"/>
  <c r="AA21" i="2"/>
  <c r="AB21" i="2" s="1"/>
  <c r="AK12" i="2"/>
  <c r="AM12" i="2" s="1"/>
  <c r="AK26" i="2"/>
  <c r="AM26" i="2" s="1"/>
  <c r="AK19" i="2"/>
  <c r="AM19" i="2" s="1"/>
  <c r="AK13" i="2"/>
  <c r="AM13" i="2" s="1"/>
  <c r="AN21" i="2"/>
  <c r="AO21" i="2" s="1"/>
  <c r="AA20" i="2"/>
  <c r="AB20" i="2" s="1"/>
  <c r="AH29" i="2"/>
  <c r="AA17" i="2" l="1"/>
  <c r="AB17" i="2" s="1"/>
  <c r="Z29" i="2"/>
  <c r="AM27" i="2"/>
  <c r="AO16" i="2"/>
  <c r="AA9" i="2"/>
  <c r="AB9" i="2" s="1"/>
  <c r="AN6" i="2"/>
  <c r="AK29" i="2"/>
  <c r="AN19" i="2"/>
  <c r="AO19" i="2" s="1"/>
  <c r="AN17" i="2"/>
  <c r="AO17" i="2" s="1"/>
  <c r="AN24" i="2"/>
  <c r="AO24" i="2" s="1"/>
  <c r="AN7" i="2"/>
  <c r="AO7" i="2" s="1"/>
  <c r="AM20" i="2"/>
  <c r="AN12" i="2"/>
  <c r="AO12" i="2" s="1"/>
  <c r="AN4" i="2"/>
  <c r="AN13" i="2"/>
  <c r="AO13" i="2" s="1"/>
  <c r="AN27" i="2"/>
  <c r="AO27" i="2" s="1"/>
  <c r="AN5" i="2"/>
  <c r="AO5" i="2" s="1"/>
  <c r="AB4" i="2"/>
  <c r="AN14" i="2"/>
  <c r="AO14" i="2" s="1"/>
  <c r="AN26" i="2"/>
  <c r="AO26" i="2"/>
  <c r="AL29" i="2"/>
  <c r="AB29" i="2" l="1"/>
  <c r="AA29" i="2"/>
  <c r="AN20" i="2"/>
  <c r="AO20" i="2" s="1"/>
  <c r="AN29" i="2"/>
  <c r="AM29" i="2"/>
  <c r="AO4" i="2"/>
  <c r="AO29" i="2" l="1"/>
</calcChain>
</file>

<file path=xl/comments1.xml><?xml version="1.0" encoding="utf-8"?>
<comments xmlns="http://schemas.openxmlformats.org/spreadsheetml/2006/main">
  <authors>
    <author>Unknown Author</author>
  </authors>
  <commentList>
    <comment ref="M2" authorId="0" shapeId="0">
      <text>
        <r>
          <rPr>
            <sz val="10"/>
            <rFont val="Arial"/>
            <family val="2"/>
          </rPr>
          <t xml:space="preserve">User:
На 1 оборудование, 10 шт и т.д.
</t>
        </r>
      </text>
    </comment>
  </commentList>
</comments>
</file>

<file path=xl/sharedStrings.xml><?xml version="1.0" encoding="utf-8"?>
<sst xmlns="http://schemas.openxmlformats.org/spreadsheetml/2006/main" count="436" uniqueCount="239">
  <si>
    <t>Вспомогательные данные для расчета сметы</t>
  </si>
  <si>
    <t>Накладные расходы, в % от ЗП</t>
  </si>
  <si>
    <t>Нормативная прибыль, в % от ЗП</t>
  </si>
  <si>
    <t>Накладные расходы, в % от затрат на эксплуатацию машин</t>
  </si>
  <si>
    <t>Нормативная прибыль прибыль в % от затрат на эксплуатацию машин</t>
  </si>
  <si>
    <t>НДС</t>
  </si>
  <si>
    <t>Расчет коэффициента для Татарстана</t>
  </si>
  <si>
    <t>Среднемесячная заработная плата январь-декабрь, г. Москва</t>
  </si>
  <si>
    <t>https://www.fedstat.ru/indicator/57824</t>
  </si>
  <si>
    <t>Среднемесячная заработная плата январь-декабрь, Республика Татарстан</t>
  </si>
  <si>
    <t>Коэффициент</t>
  </si>
  <si>
    <t>Примечания к расчёту</t>
  </si>
  <si>
    <t>• Объект: МБОУ "Физико-математический лицей №123". Система: СКУД + домофония.</t>
  </si>
  <si>
    <t>• Источник состава и количеств: Оборудование_1.xlsx, лист «МБОУ "Физико-математический лиц», колонки E–L (блок «Скуд»), строки 3–38.</t>
  </si>
  <si>
    <t>• Дубли листа оборудования суммированы по указанию заказчика: ИВЭПР 12/2 RSR3 2х7-Р БР (стр. 23 + 37) = 10 шт.; пульт PERCo-H-06/4 (стр. 22 + 27) = 4 шт.</t>
  </si>
  <si>
    <t>• Нормативная база: СН-2012, сборники 1, 21, 22, 24. Уровень цен — по сборникам.</t>
  </si>
  <si>
    <t>• Коэффициент перехода в уровень РТ (B12) применяется только к ЗП и ЗПМ. МР и ЭМ без ЗПМ не пересчитываются.</t>
  </si>
  <si>
    <t>• НР и НП начисляются раздельно: от ЗП (B2, B3) и от ЭМ / ЗПМ (B4, B5).</t>
  </si>
  <si>
    <t>• Строки с прочерком в колонке F ("Расценка не требуется") оставлены в расчёте намеренно: обоснование отсутствия расценки — в колонке I. Итоги по ним = 0.</t>
  </si>
  <si>
    <t>! ВНИМАНИЕ. Поз. 28 и 29 (домофония Hikvision) посчитаны по расценкам-аналогам 22-2203-142-1/1 и 22-2203-143-1/1. Расценок на домофоны в сборниках 18/21/22/24 нет. Совпадение составов неполное — см. колонку I.</t>
  </si>
  <si>
    <t>! ОТКРЫТО. Поз. 17 «Стойка с электромагнитным УБ, крайняя» (PERCo-BH02 2-04/EL, 2 шт.) — содержит электромагнит, кандидат на 21-2303-27-5/1. Сейчас прочерк.</t>
  </si>
  <si>
    <t>! ОТКРЫТО. Поз. 15 «Комплект створок ограждения с магнитным УБ» (2 шт.) — расценки на ТО ограждений СКУД в сборниках 18/21/22/24 отсутствуют. Сейчас прочерк.</t>
  </si>
  <si>
    <t>• Цена сборника 1 (1-2203-51-1/1, ТО сетевого контроллера) взята из файла «СКУД_Лето_13_07_2026_От_Розы.xlsx». Расценки 1-2201-49-1/1 и 1-2203-32-1/1 из расчёта исключены.</t>
  </si>
  <si>
    <t>• Цены сборников 21, 22, 24 сверены с PDF-текстами сборников из проекта.</t>
  </si>
  <si>
    <t>! ВНИМАНИЕ. Поз. 10 (ЛКД-УРД-1, 59 шт.) посчитана по расценке-аналогу 22-2203-98-1/1 (извещатель пожарный ручной тип WR7). Прямой расценки на устройство разблокировки двери в сборниках 18/21/22/24 нет. Разбор аналога и отклонённые варианты — в колонке I.</t>
  </si>
  <si>
    <t>! ВНИМАНИЕ. Поз. 12 (модуль сопряжения R3-MC-1) посчитана по расценке-аналогу 22-2203-146-2/1 (преобразователь интерфейсов С2000-USB). Периодичность 2 раза в год — по паспорту оборудования. В наименовании расценки указано «годовое»; расхождение принято осознанно, разбор и отклонённые варианты — в колонке I.</t>
  </si>
  <si>
    <t>• История версий: v1 — первичный расчёт; v1_2 — правки заказчика (исключены осмотр контроллера 1-2201-49-1/1 и строки-прочерки по АКБ и комплекту монтажа замка; модуль сопряжения переведён на 2 раза в год); v1_3 — поз. 10 ЛКД-УРД-1 переведена с 1-2203-32-1/1 на 22-2203-98-1/1; v1_4 — поз. 12 R3-MC-1 переведена с 22-2203-104-3/1 (блок сигнально-пусковой С2000-СП1) на 22-2203-146-2/1 (преобразователь интерфейсов С2000-USB) по паспорту оборудования; v1_5 — поз. 13 турникет PERCo-TTD-10AB: три строки 24-2903-2 (8 ежемесячных + 2 квартальных + 2 полугодовых ТО) заменены одной строкой 24-2903-7-3/1 (годовое, 1 ТО) по руководству по эксплуатации; v1_6 — правки заказчика (R5-USB Prof, R15-Multi и кнопка выхода переведены на 1 раз в год по паспортам РусГард; исключены осмотры части ИБП и строки-прочерки по конструктивным элементам PERCo) + кнопка выхода переведена с 21-2303-15-1/1 (ТО) на 21-2301-15-1/1 (технический осмотр).</t>
  </si>
  <si>
    <t>! ВНИМАНИЕ. Поз. 13 (турникет PERCo-TTD-10AB, 2 шт.) посчитана по расценке-аналогу 24-2903-7-3/1 (полноростовой роторный турникет ПерКо RTD-15.2, годовое). Периодичность 1 раз в год — по руководству по эксплуатации, разд. 12. Расхождения аналога (полноростовой vs тумбовый трипод; привязка наименования к зданиям МФЦ трудовой миграции) и отклонённые варианты — в колонке I.</t>
  </si>
  <si>
    <t>! ПРОВЕРИТЬ. Поз. 9 (кнопка выхода, 38 шт.): в листе оборудования модель и производитель не указаны. Периодичность 1 раз в год и выбор расценки 21-2301-15-1/1 (технический осмотр) приняты по паспорту РусГард. При подтверждении контактного (не сенсорного) исполнения допустим возврат на 21-2303-15-1/1 (ТО) при J=1. Разбор — в колонке I.</t>
  </si>
  <si>
    <t>СКУД + домофония. МБОУ "Физико-математический лицей №123"</t>
  </si>
  <si>
    <t>Расчет в сметных нормативах сборника СН-2012</t>
  </si>
  <si>
    <t>Расчет с учетом корректировки ЗТР в уровень РТ</t>
  </si>
  <si>
    <t>план</t>
  </si>
  <si>
    <t>Наименование оборудования</t>
  </si>
  <si>
    <t>Тип оборудования</t>
  </si>
  <si>
    <t>Производитель оборудования</t>
  </si>
  <si>
    <t>Наименование мероприятия</t>
  </si>
  <si>
    <t>Шифр расценки</t>
  </si>
  <si>
    <t xml:space="preserve"> Наименование расценки</t>
  </si>
  <si>
    <t>периодичность операции</t>
  </si>
  <si>
    <t>обоснование периодичности</t>
  </si>
  <si>
    <t>количество операций в год</t>
  </si>
  <si>
    <t>количество оборудования</t>
  </si>
  <si>
    <t>выполнений в год</t>
  </si>
  <si>
    <t>ед. измер. (на какой объем оборудования рассчитана расценка)</t>
  </si>
  <si>
    <t>Всего ед. измер.</t>
  </si>
  <si>
    <t>Цена на единицу измерения: ЗП</t>
  </si>
  <si>
    <t>Цена на ед. мзмерения: ЭМ</t>
  </si>
  <si>
    <t>в  том числе оплата труда машинистов</t>
  </si>
  <si>
    <t>Цена на ед. измер.: МР</t>
  </si>
  <si>
    <t>Поправочный коэффициент</t>
  </si>
  <si>
    <t>Всего ЗП:</t>
  </si>
  <si>
    <t>Всего: ЭМ</t>
  </si>
  <si>
    <t>в том числе ЗПМ</t>
  </si>
  <si>
    <t>Всего МР:</t>
  </si>
  <si>
    <t>НР</t>
  </si>
  <si>
    <t>НП</t>
  </si>
  <si>
    <t>Итого в год (без НДС)</t>
  </si>
  <si>
    <t>Итого  в год (с НДС)</t>
  </si>
  <si>
    <t>Справочно: затраты труда человеко-часов (на ед. измерения)</t>
  </si>
  <si>
    <t>Справочно: затраты труда человеко-часов (Общее за год)</t>
  </si>
  <si>
    <t>РАЗДЕЛ А. СИСТЕМА КОНТРОЛЯ И УПРАВЛЕНИЯ ДОСТУПОМ</t>
  </si>
  <si>
    <t>Сервер СКУД</t>
  </si>
  <si>
    <t>СКУД LTV</t>
  </si>
  <si>
    <t>LTV</t>
  </si>
  <si>
    <t>Техническое обслуживание сервера СКУД с ПО</t>
  </si>
  <si>
    <t>22-2203-113-1/1</t>
  </si>
  <si>
    <t>Техническое обслуживание аппаратуры программно-аппаратного комплекса "Стрелец-Мониторинг", рабочее место администратора - ежемесячное</t>
  </si>
  <si>
    <t>раз в 1 мес.</t>
  </si>
  <si>
    <t>Периодичность учтена в наименовании расценки ("ежемесячное"). Применена по аналогии: сервер с ПО и ИБП; состав работ совпадает (проверка перехода на батареи UPS, очистка оборудования, проверка разъёмов и сетевых соединений, подтяжка соединителей, обновление ПО с перезагрузкой ПК)</t>
  </si>
  <si>
    <t>ИБП</t>
  </si>
  <si>
    <t>Skat-UPS 1500 Rack</t>
  </si>
  <si>
    <t>Бастион</t>
  </si>
  <si>
    <t>Техническое обслуживание источника бесперебойного питания</t>
  </si>
  <si>
    <t>21-2203-41-1/1</t>
  </si>
  <si>
    <t>Техническое обслуживание источника бесперебойного питания (ИБП) типа APC Smart UPS SRT 6 кВА стоечного исполнения - полугодовое</t>
  </si>
  <si>
    <t>раз в 6 мес.</t>
  </si>
  <si>
    <t>Паспорт</t>
  </si>
  <si>
    <t>Контроллер СКУД с импульсным БП на 2,5 А, пластиковый корпус</t>
  </si>
  <si>
    <t>CS-102-CE-B</t>
  </si>
  <si>
    <t>RusGuard</t>
  </si>
  <si>
    <t>Техническое обслуживание контроллера</t>
  </si>
  <si>
    <t>1-2203-51-1/1</t>
  </si>
  <si>
    <t>Техническое обслуживание сетевого контроллера исполнительных устройств "СКИУ-01"</t>
  </si>
  <si>
    <t>раз в 1 год</t>
  </si>
  <si>
    <t>Паспорт RusGuard, п. 4: "В профилактических целях рекомендуется ежегодно проводить..."</t>
  </si>
  <si>
    <t>Считыватель настольный, USB, NFC/BLE</t>
  </si>
  <si>
    <t>R5-USB Prof</t>
  </si>
  <si>
    <t>Техническое обслуживание считывателя</t>
  </si>
  <si>
    <t>24-2003-1-3/1</t>
  </si>
  <si>
    <t>Техническое обслуживание кассового оборудования, считыватель карт настольный - ежемесячное</t>
  </si>
  <si>
    <t>Считыватель NFC/BLE, EM-Marin, Mifare, память 1500, IP67</t>
  </si>
  <si>
    <t>R15-Multi</t>
  </si>
  <si>
    <t>24-2903-5-1/1</t>
  </si>
  <si>
    <t>Техническое обслуживание считывателя карт настенного системы контроля доступа - ежемесячное</t>
  </si>
  <si>
    <t>Замок электромагнитный (белый)</t>
  </si>
  <si>
    <t>AL-300Premium (белый)</t>
  </si>
  <si>
    <t>AccordTec</t>
  </si>
  <si>
    <t>Регулировка зазоров, проверка срабатывания, очистка рабочих поверхностей</t>
  </si>
  <si>
    <t>21-2303-27-5/1</t>
  </si>
  <si>
    <t>Техническое обслуживание электрических аппаратов до 1000 В, реле электромагнитное постоянного и переменного тока</t>
  </si>
  <si>
    <t>Паспорт, п. 6.3: "Рекомендуется не реже одного раза в шесть месяцев проводить регулировку величины ЗАЗОРОВ, проверку надёжности срабатывания замка и состояния рабочих поверхностей"</t>
  </si>
  <si>
    <t>Кнопка "ВЫХОД"</t>
  </si>
  <si>
    <t>—</t>
  </si>
  <si>
    <t>Технический осмотр кнопки выхода</t>
  </si>
  <si>
    <t>Технический осмотр кнопки управления, число кнопок до 4</t>
  </si>
  <si>
    <t>Паспорт кнопки выхода (АО «РусГард»), разд. 6 «Техническое обслуживание»: «Кнопка не нуждается в обязательном техническом обслуживании. В профилактических целях рекомендуется ежегодно проводить следующие мероприятия: визуальный контроль целостности корпуса; при необходимости – чистку корпуса кнопки от грязи и пыли». Периодичность 1 раз в год — по паспорту. Состав работ по расценке приведён не в таблице, а в технической части Сборника 21, п. 1.5.1 (общий состав для раздела 1 отдела 23 «Электрические аппараты и приборы»): проверка соответствия условиям эксплуатации и нагрузки; ОЧИСТКА ОТ ПЫЛИ И ГРЯЗИ; проверка исправности подключенной электропроводки и сетей заземления; ОСМОТР И ЛИКВИДАЦИЯ ВИДИМЫХ ПОВРЕЖДЕНИЙ; затяжка крепёжных деталей; проверка исправности арматуры; проверка наличия соответствующих надписей. Два выделенных пункта дословно соответствуют паспорту. Измеритель: 10 кнопок. Принято исполнение «число кнопок до 4» (кнопка одиночная). Отклонена расценка 21-2303-15-1/1 (ТО кнопки управления, применялась в версиях v1–v1_5): её состав по п. 1.5.2 технической части Сборника 21 — частичная разборка, очистка и промывка механических и контактных деталей, опиловка, зачистка и шлифовка всех контактных поверхностей, проверка и регулировка плотности включения контактов — то есть объём капитального характера, которого паспорт не требует. ПРОВЕРИТЬ: в листе оборудования модель и производитель кнопки не указаны (прочерк). Если кнопка сенсорная (напр. РусГард RG-Btn-R35), работы с контактными поверхностями неприменимы конструктивно; если контактная — вариант 21-2303-15-1/1 при J=1 также допустим.</t>
  </si>
  <si>
    <t>Устройство разблокировки двери с восстанавливаемой вставкой</t>
  </si>
  <si>
    <t>ЛКД-УРД-1</t>
  </si>
  <si>
    <t>ЛКД</t>
  </si>
  <si>
    <t>Техническое обслуживание устройства разблокировки</t>
  </si>
  <si>
    <t>22-2203-98-1/1</t>
  </si>
  <si>
    <t>Извещатель пожарный ручной тип WR7, техническое обслуживание</t>
  </si>
  <si>
    <t>ПКМ. РАСЦЕНКА-АНАЛОГ. Прямой расценки на устройство разблокировки двери в сборниках 18/21/22/24 нет. Совпадает: неадресное ручное устройство под крышкой; отключение выходов ППК и исполнительных устройств перед проверкой (у УРД — развязка электромагнитного замка, иначе дверь откроется) и последующее восстановление выходов; проверка специального стекла (у УРД — восстанавливаемая вставка, тот же одноразово-восстанавливаемый приводной элемент); внешний осмотр и очистка корпуса; запись в журнал. Не совпадает: у УРД нет пломбы в составе расценки. Отклонены: 1-2203-32-1/1 (ИПР513-3А) и 22-2203-99-1/1 (FT 513) — адресные, с электроникой и проверкой шлейфов, которых у УРД нет; 22-2203-97-1/1 (FP-2) — только осмотр корпуса и светоиндикатора, без развязки замка и работы с приводным элементом; 21-2303-15-1/1 — в сборнике не приведён состав работ; 21-2303-27-9/1 — состав про аппарат в шкафу (чистка контактов, настройка уставок).</t>
  </si>
  <si>
    <t>24-портовый Ethernet-коммутатор</t>
  </si>
  <si>
    <t>LTV-3S24G4C-P</t>
  </si>
  <si>
    <t>Техническое обслуживание коммутатора</t>
  </si>
  <si>
    <t>22-2103-37-1/1</t>
  </si>
  <si>
    <t>Техническое обслуживание IP-шлюза - ежемесячное</t>
  </si>
  <si>
    <t>ПКМ. Применена по аналогии (активное сетевое оборудование). Измеритель: 10 шт.</t>
  </si>
  <si>
    <t>Модуль сопряжения (преобразователь интерфейса)</t>
  </si>
  <si>
    <t>R3-MC-1</t>
  </si>
  <si>
    <t>Рубеж</t>
  </si>
  <si>
    <t>Техническое обслуживание модуля сопряжения (преобразователя интерфейсов)</t>
  </si>
  <si>
    <t>22-2203-146-2/1</t>
  </si>
  <si>
    <t>Техническое обслуживание приборов охранно-пожарной сигнализации на базе оборудования С2000, преобразователь интерфейсов С2000-USB - годовое</t>
  </si>
  <si>
    <t>Тумбовый турникет-трипод с автоматическими планками "Антипаника" и пультом управления</t>
  </si>
  <si>
    <t>PERCo-TTD-10AB</t>
  </si>
  <si>
    <t>PERCo</t>
  </si>
  <si>
    <t>Техническое обслуживание турникета</t>
  </si>
  <si>
    <t>24-2903-7-3/1</t>
  </si>
  <si>
    <t>Техническое обслуживание полноростовых роторных турникетов серии ПерКо RTD-15.2 с механическим приводом доворота створок, расположенных в зданиях многофункционального центра трудовой миграции - годовое</t>
  </si>
  <si>
    <t>Блок питания</t>
  </si>
  <si>
    <t>ИВЭПР 12/2 RSR3 2х7-Р БР</t>
  </si>
  <si>
    <t>Технический осмотр источника вторичного электропитания</t>
  </si>
  <si>
    <t>22-2201-78-1/1</t>
  </si>
  <si>
    <t>Технический осмотр источника вторичного электропитания типа ИВЭП 112-0,3-1 "Астра-БП1"</t>
  </si>
  <si>
    <t>Техническое обслуживание источника вторичного электропитания, проверка АКБ</t>
  </si>
  <si>
    <t>22-2203-91-1/1</t>
  </si>
  <si>
    <t>Техническое обслуживание источника вторичного электропитания типа ИВЭП 112-0,3-1 "Астра-БП1"</t>
  </si>
  <si>
    <t>ПКМ</t>
  </si>
  <si>
    <t>БИРП 12-10</t>
  </si>
  <si>
    <t>Техническое обслуживание источника вторичного электропитания</t>
  </si>
  <si>
    <t>Источник бесперебойного питания</t>
  </si>
  <si>
    <t>SKAT-UPS 3000 RACK+6X9Ah</t>
  </si>
  <si>
    <t>Батарейный блок</t>
  </si>
  <si>
    <t>SKAT BC 72/18S RACK</t>
  </si>
  <si>
    <t>Проверка состояния АКБ</t>
  </si>
  <si>
    <t>Расценка не требуется</t>
  </si>
  <si>
    <t>Внешний батарейный блок ИБП. Проверка учтена составом работ расценки 21-2203-41-1/1 на ТО ИБП</t>
  </si>
  <si>
    <t>SKAT-UPS 1500 RACK+3X9Ah</t>
  </si>
  <si>
    <t>РАЗДЕЛ Б. ДОМОФОНИЯ</t>
  </si>
  <si>
    <t>Видеодомофон</t>
  </si>
  <si>
    <t>DS-KH8520-WTE1</t>
  </si>
  <si>
    <t>Hikvision</t>
  </si>
  <si>
    <t>Техническое обслуживание монитора видеодомофона</t>
  </si>
  <si>
    <t>Техническое обслуживание мастер-станции системы экстренной связи, настенного исполнения, с ЖК-дисплеем и 12-кнопочной клавиатурой, с функцией программирования и диагностики всей системы - ежемесячное</t>
  </si>
  <si>
    <t>Блок вызова (в комплекте с рамкой монтажной)</t>
  </si>
  <si>
    <t>DS-KD8003-IME1/Surface</t>
  </si>
  <si>
    <t>Техническое обслуживание блока вызова</t>
  </si>
  <si>
    <t>Техническое обслуживание приборов системы экстренной связи, абонентская вызывная станция в корпусе с дверцей - ежемесячное</t>
  </si>
  <si>
    <t>Кронштейн настенный для защиты от дождя (1 модуль)</t>
  </si>
  <si>
    <t>DS-KABD8003-RS1</t>
  </si>
  <si>
    <t>Замок электромагнитный (белый/серый)</t>
  </si>
  <si>
    <t>AL-300PRemium</t>
  </si>
  <si>
    <t>Паспорт, п. 6.3 (аналогично поз. 7)</t>
  </si>
  <si>
    <t>Источник питания</t>
  </si>
  <si>
    <t>ИВЭПР 12/2 RS-R3 2х7 БР</t>
  </si>
  <si>
    <t>Аккумулятор</t>
  </si>
  <si>
    <t>АКБ 7 Ач</t>
  </si>
  <si>
    <t>ГК РУТЕК</t>
  </si>
  <si>
    <t>ИТОГО</t>
  </si>
  <si>
    <t>№</t>
  </si>
  <si>
    <t>Наименование</t>
  </si>
  <si>
    <t>Марка / модель</t>
  </si>
  <si>
    <t>Производитель</t>
  </si>
  <si>
    <t>Ед. изм.</t>
  </si>
  <si>
    <t>Кол-во</t>
  </si>
  <si>
    <t>Источник: Оборудование_1.xlsx, лист «МБОУ "Физико-математический лиц», колонки E–L</t>
  </si>
  <si>
    <t>Сервер СКУД с ПО сервера поддержки сетевых устройств</t>
  </si>
  <si>
    <t>шт</t>
  </si>
  <si>
    <t>стр. 3</t>
  </si>
  <si>
    <t>стр. 4</t>
  </si>
  <si>
    <t>стр. 5</t>
  </si>
  <si>
    <t>стр. 6</t>
  </si>
  <si>
    <t>Считыватель NFC/BLE, EM-Marin, Mifare, память 1500, IP67, корпус чёрный, накладка серого цвета</t>
  </si>
  <si>
    <t>стр. 7</t>
  </si>
  <si>
    <t>Аккумуляторная батарея</t>
  </si>
  <si>
    <t>стр. 8</t>
  </si>
  <si>
    <t>стр. 9</t>
  </si>
  <si>
    <t>Комплект монтажа электромагнитного замка (белый)</t>
  </si>
  <si>
    <t>MK AL-300PR (белый)</t>
  </si>
  <si>
    <t>стр. 10</t>
  </si>
  <si>
    <t>Кнопка «ВЫХОД»</t>
  </si>
  <si>
    <t>стр. 11</t>
  </si>
  <si>
    <t>стр. 12</t>
  </si>
  <si>
    <t>стр. 13</t>
  </si>
  <si>
    <t>Модуль сопряжения</t>
  </si>
  <si>
    <t>стр. 14</t>
  </si>
  <si>
    <t>Тумбовый турникет-трипод с автоматическими планками «Антипаника» и пультом управления</t>
  </si>
  <si>
    <t>стр. 15</t>
  </si>
  <si>
    <t>Крышка для установки дополнительного оборудования</t>
  </si>
  <si>
    <t>PERCo-Co-10P.2</t>
  </si>
  <si>
    <t>стр. 16</t>
  </si>
  <si>
    <t>Комплект створок для двойной распашной секции ограждения с магнитным УБ, ширина прохода 2400 мм</t>
  </si>
  <si>
    <t>BH02 1-19 PERCo</t>
  </si>
  <si>
    <t>стр. 17</t>
  </si>
  <si>
    <t>Стойка односторонняя с 4 отверстиями для крепления</t>
  </si>
  <si>
    <t>PERCo-BH02 2-01</t>
  </si>
  <si>
    <t>стр. 18</t>
  </si>
  <si>
    <t>Стойка с электромагнитным УБ, крайняя</t>
  </si>
  <si>
    <t>PERCo-BH02 2-04/EL</t>
  </si>
  <si>
    <t>стр. 19</t>
  </si>
  <si>
    <t>Поручень</t>
  </si>
  <si>
    <t>PERCo-BH02 1-01</t>
  </si>
  <si>
    <t>стр. 20</t>
  </si>
  <si>
    <t>Патрубок прямой</t>
  </si>
  <si>
    <t>PERCo-BH02 0-10</t>
  </si>
  <si>
    <t>стр. 21</t>
  </si>
  <si>
    <t>Пульт управления турникетом</t>
  </si>
  <si>
    <t>PERCo-H-06/4</t>
  </si>
  <si>
    <t>стр. 22 (2) + стр. 27 (2) — дубль, суммировано</t>
  </si>
  <si>
    <t>стр. 23 (5) + стр. 37 (5) — дубль, суммировано</t>
  </si>
  <si>
    <t>АКБ 12 Ач</t>
  </si>
  <si>
    <t>стр. 24</t>
  </si>
  <si>
    <t>стр. 25 (8) + стр. 38 (5) — суммировано</t>
  </si>
  <si>
    <t>стр. 26</t>
  </si>
  <si>
    <t>стр. 28</t>
  </si>
  <si>
    <t>стр. 29</t>
  </si>
  <si>
    <t>стр. 30</t>
  </si>
  <si>
    <t>стр. 31</t>
  </si>
  <si>
    <t>стр. 32</t>
  </si>
  <si>
    <t>стр. 33</t>
  </si>
  <si>
    <t>стр. 34</t>
  </si>
  <si>
    <t>стр. 35</t>
  </si>
  <si>
    <t>стр. 36</t>
  </si>
  <si>
    <t>ИТОГО позиций</t>
  </si>
  <si>
    <t>21-2303-15-1/1</t>
  </si>
  <si>
    <t>1-2301-1-1/1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</si>
</sst>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\-??_-;_-@_-"/>
    <numFmt numFmtId="165" formatCode="0.00000"/>
    <numFmt numFmtId="166" formatCode="_-* #,##0_-;\-* #,##0_-;_-* \-??_-;_-@_-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0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sz val="11"/>
      <name val="Calibri"/>
      <family val="2"/>
      <charset val="1"/>
    </font>
    <font>
      <b/>
      <sz val="18"/>
      <name val="Calibri"/>
      <family val="2"/>
      <charset val="1"/>
    </font>
    <font>
      <b/>
      <sz val="10"/>
      <color rgb="FFFFFFFF"/>
      <name val="Calibri"/>
      <family val="2"/>
      <charset val="204"/>
    </font>
    <font>
      <b/>
      <sz val="10"/>
      <name val="Calibri"/>
      <family val="2"/>
      <charset val="204"/>
    </font>
    <font>
      <b/>
      <sz val="10"/>
      <color rgb="FF002060"/>
      <name val="Calibri"/>
      <family val="2"/>
      <charset val="204"/>
    </font>
    <font>
      <sz val="9"/>
      <name val="Arial"/>
      <charset val="1"/>
    </font>
    <font>
      <sz val="10"/>
      <name val="Arial"/>
      <family val="2"/>
    </font>
    <font>
      <b/>
      <sz val="9"/>
      <name val="Arial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theme="0" tint="-4.9989318521683403E-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theme="3" tint="0.79979857783745845"/>
        <bgColor rgb="FFDDEBF7"/>
      </patternFill>
    </fill>
    <fill>
      <patternFill patternType="solid">
        <fgColor rgb="FF92D050"/>
        <bgColor rgb="FFBBBBBB"/>
      </patternFill>
    </fill>
    <fill>
      <patternFill patternType="solid">
        <fgColor rgb="FFFFFF00"/>
        <bgColor rgb="FFFFFF00"/>
      </patternFill>
    </fill>
    <fill>
      <patternFill patternType="solid">
        <fgColor theme="5" tint="0.79979857783745845"/>
        <bgColor rgb="FFF2F2F2"/>
      </patternFill>
    </fill>
    <fill>
      <patternFill patternType="solid">
        <fgColor theme="0"/>
        <bgColor rgb="FFC0000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0" borderId="0"/>
    <xf numFmtId="0" fontId="15" fillId="0" borderId="0"/>
    <xf numFmtId="164" fontId="15" fillId="0" borderId="0"/>
  </cellStyleXfs>
  <cellXfs count="42">
    <xf numFmtId="0" fontId="0" fillId="0" borderId="0" xfId="0"/>
    <xf numFmtId="0" fontId="0" fillId="0" borderId="0" xfId="0" applyFont="1"/>
    <xf numFmtId="0" fontId="0" fillId="0" borderId="1" xfId="0" applyFont="1" applyBorder="1"/>
    <xf numFmtId="0" fontId="2" fillId="0" borderId="0" xfId="0" applyFont="1"/>
    <xf numFmtId="9" fontId="0" fillId="0" borderId="1" xfId="0" applyNumberFormat="1" applyFont="1" applyBorder="1"/>
    <xf numFmtId="9" fontId="0" fillId="0" borderId="0" xfId="0" applyNumberFormat="1" applyFont="1"/>
    <xf numFmtId="164" fontId="2" fillId="0" borderId="0" xfId="0" applyNumberFormat="1" applyFont="1" applyAlignment="1">
      <alignment wrapText="1"/>
    </xf>
    <xf numFmtId="0" fontId="3" fillId="0" borderId="0" xfId="0" applyFont="1"/>
    <xf numFmtId="165" fontId="2" fillId="0" borderId="0" xfId="0" applyNumberFormat="1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164" fontId="0" fillId="6" borderId="5" xfId="0" applyNumberFormat="1" applyFont="1" applyFill="1" applyBorder="1" applyAlignment="1">
      <alignment vertical="center"/>
    </xf>
    <xf numFmtId="166" fontId="0" fillId="6" borderId="5" xfId="0" applyNumberFormat="1" applyFont="1" applyFill="1" applyBorder="1" applyAlignment="1">
      <alignment vertical="center"/>
    </xf>
    <xf numFmtId="0" fontId="12" fillId="0" borderId="5" xfId="0" applyFont="1" applyBorder="1" applyAlignment="1">
      <alignment vertical="center"/>
    </xf>
    <xf numFmtId="164" fontId="12" fillId="0" borderId="5" xfId="0" applyNumberFormat="1" applyFont="1" applyBorder="1" applyAlignment="1">
      <alignment vertical="center"/>
    </xf>
    <xf numFmtId="166" fontId="12" fillId="0" borderId="5" xfId="0" applyNumberFormat="1" applyFont="1" applyBorder="1" applyAlignment="1">
      <alignment vertical="center"/>
    </xf>
    <xf numFmtId="4" fontId="12" fillId="0" borderId="5" xfId="0" applyNumberFormat="1" applyFont="1" applyBorder="1" applyAlignment="1">
      <alignment vertical="center"/>
    </xf>
    <xf numFmtId="4" fontId="12" fillId="7" borderId="5" xfId="0" applyNumberFormat="1" applyFont="1" applyFill="1" applyBorder="1" applyAlignment="1">
      <alignment vertical="center"/>
    </xf>
    <xf numFmtId="4" fontId="12" fillId="8" borderId="5" xfId="0" applyNumberFormat="1" applyFont="1" applyFill="1" applyBorder="1" applyAlignment="1">
      <alignment vertical="center"/>
    </xf>
    <xf numFmtId="4" fontId="12" fillId="3" borderId="5" xfId="0" applyNumberFormat="1" applyFont="1" applyFill="1" applyBorder="1" applyAlignment="1">
      <alignment vertical="center"/>
    </xf>
    <xf numFmtId="164" fontId="12" fillId="3" borderId="5" xfId="0" applyNumberFormat="1" applyFont="1" applyFill="1" applyBorder="1" applyAlignment="1">
      <alignment vertical="center"/>
    </xf>
    <xf numFmtId="0" fontId="0" fillId="9" borderId="0" xfId="0" applyFont="1" applyFill="1"/>
    <xf numFmtId="0" fontId="0" fillId="10" borderId="0" xfId="0" applyFont="1" applyFill="1"/>
    <xf numFmtId="0" fontId="12" fillId="7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4" fontId="4" fillId="6" borderId="5" xfId="0" applyNumberFormat="1" applyFont="1" applyFill="1" applyBorder="1" applyAlignment="1">
      <alignment vertical="center"/>
    </xf>
    <xf numFmtId="4" fontId="0" fillId="6" borderId="5" xfId="0" applyNumberFormat="1" applyFont="1" applyFill="1" applyBorder="1" applyAlignment="1">
      <alignment vertical="center"/>
    </xf>
    <xf numFmtId="0" fontId="14" fillId="6" borderId="5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164" fontId="12" fillId="11" borderId="5" xfId="0" applyNumberFormat="1" applyFont="1" applyFill="1" applyBorder="1" applyAlignment="1">
      <alignment vertical="center"/>
    </xf>
  </cellXfs>
  <cellStyles count="4">
    <cellStyle name="Обычный" xfId="0" builtinId="0"/>
    <cellStyle name="Обычный 2" xfId="1"/>
    <cellStyle name="Обычный 3" xfId="2"/>
    <cellStyle name="Финансовый 2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BBBBB"/>
      <rgbColor rgb="FFFF99CC"/>
      <rgbColor rgb="FFCC99FF"/>
      <rgbColor rgb="FFF2DCDB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130" style="1" customWidth="1"/>
    <col min="2" max="2" width="14" style="1" customWidth="1"/>
    <col min="3" max="3" width="40" style="1" customWidth="1"/>
  </cols>
  <sheetData>
    <row r="1" spans="1:3" ht="15" customHeight="1" x14ac:dyDescent="0.25">
      <c r="A1" s="2" t="s">
        <v>0</v>
      </c>
      <c r="B1" s="3"/>
    </row>
    <row r="2" spans="1:3" ht="15" customHeight="1" x14ac:dyDescent="0.25">
      <c r="A2" s="2" t="s">
        <v>1</v>
      </c>
      <c r="B2" s="4">
        <v>0.7</v>
      </c>
    </row>
    <row r="3" spans="1:3" ht="15" customHeight="1" x14ac:dyDescent="0.25">
      <c r="A3" s="2" t="s">
        <v>2</v>
      </c>
      <c r="B3" s="4">
        <v>0.1</v>
      </c>
    </row>
    <row r="4" spans="1:3" ht="15" customHeight="1" x14ac:dyDescent="0.25">
      <c r="A4" s="2" t="s">
        <v>3</v>
      </c>
      <c r="B4" s="4">
        <v>0.78</v>
      </c>
    </row>
    <row r="5" spans="1:3" ht="15" customHeight="1" x14ac:dyDescent="0.25">
      <c r="A5" s="2" t="s">
        <v>4</v>
      </c>
      <c r="B5" s="4">
        <v>0.3</v>
      </c>
    </row>
    <row r="6" spans="1:3" ht="15" customHeight="1" x14ac:dyDescent="0.25">
      <c r="B6" s="2"/>
    </row>
    <row r="7" spans="1:3" ht="15" customHeight="1" x14ac:dyDescent="0.25">
      <c r="A7" s="1" t="s">
        <v>5</v>
      </c>
      <c r="B7" s="5">
        <v>0.22</v>
      </c>
    </row>
    <row r="9" spans="1:3" ht="15" customHeight="1" x14ac:dyDescent="0.25">
      <c r="A9" s="1" t="s">
        <v>6</v>
      </c>
    </row>
    <row r="10" spans="1:3" ht="15" customHeight="1" x14ac:dyDescent="0.25">
      <c r="A10" s="2" t="s">
        <v>7</v>
      </c>
      <c r="B10" s="6">
        <v>180861.1</v>
      </c>
      <c r="C10" s="7" t="s">
        <v>8</v>
      </c>
    </row>
    <row r="11" spans="1:3" ht="15" customHeight="1" x14ac:dyDescent="0.25">
      <c r="A11" s="2" t="s">
        <v>9</v>
      </c>
      <c r="B11" s="6">
        <v>90515</v>
      </c>
      <c r="C11" s="3" t="s">
        <v>8</v>
      </c>
    </row>
    <row r="12" spans="1:3" ht="15" customHeight="1" x14ac:dyDescent="0.25">
      <c r="A12" s="2" t="s">
        <v>10</v>
      </c>
      <c r="B12" s="8">
        <f>ROUND(B10/B11,3)</f>
        <v>1.998</v>
      </c>
      <c r="C12" s="3"/>
    </row>
    <row r="14" spans="1:3" ht="15" customHeight="1" x14ac:dyDescent="0.25">
      <c r="A14" s="9" t="s">
        <v>11</v>
      </c>
    </row>
    <row r="15" spans="1:3" ht="15" customHeight="1" x14ac:dyDescent="0.25">
      <c r="A15" s="10" t="s">
        <v>12</v>
      </c>
    </row>
    <row r="16" spans="1:3" ht="15" customHeight="1" x14ac:dyDescent="0.25">
      <c r="A16" s="10" t="s">
        <v>13</v>
      </c>
    </row>
    <row r="17" spans="1:1" ht="15" customHeight="1" x14ac:dyDescent="0.25">
      <c r="A17" s="10" t="s">
        <v>14</v>
      </c>
    </row>
    <row r="18" spans="1:1" ht="15" customHeight="1" x14ac:dyDescent="0.25">
      <c r="A18" s="10" t="s">
        <v>15</v>
      </c>
    </row>
    <row r="19" spans="1:1" ht="15" customHeight="1" x14ac:dyDescent="0.25">
      <c r="A19" s="10" t="s">
        <v>16</v>
      </c>
    </row>
    <row r="20" spans="1:1" ht="15" customHeight="1" x14ac:dyDescent="0.25">
      <c r="A20" s="10" t="s">
        <v>17</v>
      </c>
    </row>
    <row r="21" spans="1:1" ht="15" customHeight="1" x14ac:dyDescent="0.25">
      <c r="A21" s="10" t="s">
        <v>18</v>
      </c>
    </row>
    <row r="22" spans="1:1" ht="21.75" customHeight="1" x14ac:dyDescent="0.25">
      <c r="A22" s="11" t="s">
        <v>19</v>
      </c>
    </row>
    <row r="23" spans="1:1" ht="21.75" customHeight="1" x14ac:dyDescent="0.25">
      <c r="A23" s="11" t="s">
        <v>20</v>
      </c>
    </row>
    <row r="24" spans="1:1" ht="21.75" customHeight="1" x14ac:dyDescent="0.25">
      <c r="A24" s="11" t="s">
        <v>21</v>
      </c>
    </row>
    <row r="25" spans="1:1" ht="21.75" customHeight="1" x14ac:dyDescent="0.25">
      <c r="A25" s="10" t="s">
        <v>22</v>
      </c>
    </row>
    <row r="26" spans="1:1" ht="15" customHeight="1" x14ac:dyDescent="0.25">
      <c r="A26" s="10" t="s">
        <v>23</v>
      </c>
    </row>
    <row r="27" spans="1:1" ht="21.75" customHeight="1" x14ac:dyDescent="0.25">
      <c r="A27" s="11" t="s">
        <v>24</v>
      </c>
    </row>
    <row r="28" spans="1:1" ht="21.75" customHeight="1" x14ac:dyDescent="0.25">
      <c r="A28" s="11" t="s">
        <v>25</v>
      </c>
    </row>
    <row r="29" spans="1:1" ht="21.75" customHeight="1" x14ac:dyDescent="0.25">
      <c r="A29" s="10" t="s">
        <v>26</v>
      </c>
    </row>
    <row r="30" spans="1:1" ht="36" customHeight="1" x14ac:dyDescent="0.25">
      <c r="A30" s="11" t="s">
        <v>27</v>
      </c>
    </row>
    <row r="31" spans="1:1" ht="36" x14ac:dyDescent="0.25">
      <c r="A31" s="11" t="s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31"/>
  <sheetViews>
    <sheetView tabSelected="1" topLeftCell="S1" zoomScaleNormal="100" workbookViewId="0">
      <pane ySplit="2" topLeftCell="A3" activePane="bottomLeft" state="frozen"/>
      <selection pane="bottomLeft" activeCell="X23" sqref="X23"/>
    </sheetView>
  </sheetViews>
  <sheetFormatPr defaultColWidth="8.7109375" defaultRowHeight="15" x14ac:dyDescent="0.25"/>
  <cols>
    <col min="1" max="1" width="9" style="1" customWidth="1"/>
    <col min="2" max="2" width="18.28515625" style="1" customWidth="1"/>
    <col min="3" max="3" width="29.85546875" style="1" customWidth="1"/>
    <col min="4" max="4" width="10" style="1" hidden="1" customWidth="1"/>
    <col min="5" max="5" width="20" style="1" hidden="1" customWidth="1"/>
    <col min="6" max="6" width="18.85546875" style="1" customWidth="1"/>
    <col min="7" max="7" width="31" style="1" customWidth="1"/>
    <col min="8" max="18" width="13.5703125" style="1" customWidth="1"/>
    <col min="19" max="19" width="11.7109375" style="1" customWidth="1"/>
    <col min="20" max="20" width="14" style="1" customWidth="1"/>
    <col min="21" max="22" width="11" style="1" customWidth="1"/>
    <col min="23" max="23" width="10.140625" style="1" customWidth="1"/>
    <col min="24" max="24" width="12.28515625" style="1" customWidth="1"/>
    <col min="25" max="25" width="12.85546875" style="1" customWidth="1"/>
    <col min="26" max="26" width="13.42578125" style="1" customWidth="1"/>
    <col min="27" max="27" width="11.5703125" style="1" customWidth="1"/>
    <col min="28" max="28" width="15.42578125" style="1" customWidth="1"/>
    <col min="29" max="29" width="12.7109375" style="1" customWidth="1"/>
    <col min="30" max="36" width="12.42578125" style="1" customWidth="1"/>
    <col min="37" max="37" width="12" style="1" customWidth="1"/>
    <col min="38" max="38" width="11" style="1" customWidth="1"/>
    <col min="39" max="39" width="13.5703125" style="1" customWidth="1"/>
    <col min="40" max="40" width="12" style="1" customWidth="1"/>
    <col min="41" max="41" width="16.5703125" style="1" customWidth="1"/>
    <col min="42" max="42" width="14" style="1" customWidth="1"/>
    <col min="43" max="43" width="14.85546875" style="1" customWidth="1"/>
  </cols>
  <sheetData>
    <row r="1" spans="1:43" s="12" customFormat="1" ht="23.25" customHeight="1" x14ac:dyDescent="0.25">
      <c r="B1" s="13" t="s">
        <v>29</v>
      </c>
      <c r="H1" s="14"/>
      <c r="I1" s="13"/>
      <c r="J1" s="13"/>
      <c r="K1" s="13"/>
      <c r="L1" s="13"/>
      <c r="M1" s="13"/>
      <c r="N1" s="13"/>
      <c r="O1" s="13" t="s">
        <v>30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 t="s">
        <v>31</v>
      </c>
    </row>
    <row r="2" spans="1:43" ht="63.75" customHeight="1" x14ac:dyDescent="0.25">
      <c r="A2" s="15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6" t="s">
        <v>37</v>
      </c>
      <c r="G2" s="16" t="s">
        <v>38</v>
      </c>
      <c r="H2" s="15" t="s">
        <v>39</v>
      </c>
      <c r="I2" s="16" t="s">
        <v>40</v>
      </c>
      <c r="J2" s="15" t="s">
        <v>41</v>
      </c>
      <c r="K2" s="15" t="s">
        <v>42</v>
      </c>
      <c r="L2" s="15" t="s">
        <v>43</v>
      </c>
      <c r="M2" s="15" t="s">
        <v>44</v>
      </c>
      <c r="N2" s="15" t="s">
        <v>45</v>
      </c>
      <c r="O2" s="15" t="s">
        <v>46</v>
      </c>
      <c r="P2" s="15" t="s">
        <v>47</v>
      </c>
      <c r="Q2" s="15" t="s">
        <v>48</v>
      </c>
      <c r="R2" s="15" t="s">
        <v>49</v>
      </c>
      <c r="S2" s="17" t="s">
        <v>50</v>
      </c>
      <c r="T2" s="17" t="s">
        <v>51</v>
      </c>
      <c r="U2" s="17" t="s">
        <v>52</v>
      </c>
      <c r="V2" s="17" t="s">
        <v>53</v>
      </c>
      <c r="W2" s="15" t="s">
        <v>54</v>
      </c>
      <c r="X2" s="15" t="s">
        <v>55</v>
      </c>
      <c r="Y2" s="15" t="s">
        <v>56</v>
      </c>
      <c r="Z2" s="15" t="s">
        <v>57</v>
      </c>
      <c r="AA2" s="15" t="s">
        <v>5</v>
      </c>
      <c r="AB2" s="15" t="s">
        <v>58</v>
      </c>
      <c r="AC2" s="18" t="s">
        <v>46</v>
      </c>
      <c r="AD2" s="18" t="s">
        <v>47</v>
      </c>
      <c r="AE2" s="18" t="s">
        <v>48</v>
      </c>
      <c r="AF2" s="18" t="s">
        <v>49</v>
      </c>
      <c r="AG2" s="17" t="s">
        <v>51</v>
      </c>
      <c r="AH2" s="18" t="s">
        <v>52</v>
      </c>
      <c r="AI2" s="18" t="s">
        <v>53</v>
      </c>
      <c r="AJ2" s="18" t="s">
        <v>54</v>
      </c>
      <c r="AK2" s="18" t="s">
        <v>55</v>
      </c>
      <c r="AL2" s="18" t="s">
        <v>56</v>
      </c>
      <c r="AM2" s="18" t="s">
        <v>57</v>
      </c>
      <c r="AN2" s="18" t="s">
        <v>5</v>
      </c>
      <c r="AO2" s="18" t="s">
        <v>58</v>
      </c>
      <c r="AP2" s="19" t="s">
        <v>59</v>
      </c>
      <c r="AQ2" s="20" t="s">
        <v>60</v>
      </c>
    </row>
    <row r="3" spans="1:43" ht="15" customHeight="1" x14ac:dyDescent="0.25">
      <c r="A3" s="21"/>
      <c r="B3" s="22" t="s">
        <v>61</v>
      </c>
      <c r="C3" s="21"/>
      <c r="D3" s="21"/>
      <c r="E3" s="21"/>
      <c r="F3" s="21"/>
      <c r="G3" s="21"/>
      <c r="H3" s="23"/>
      <c r="I3" s="23"/>
      <c r="J3" s="24"/>
      <c r="K3" s="24"/>
      <c r="L3" s="24"/>
      <c r="M3" s="24"/>
      <c r="N3" s="21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1"/>
      <c r="AQ3" s="21"/>
    </row>
    <row r="4" spans="1:43" ht="15" customHeight="1" x14ac:dyDescent="0.25">
      <c r="A4" s="25">
        <v>1</v>
      </c>
      <c r="B4" s="25" t="s">
        <v>62</v>
      </c>
      <c r="C4" s="25" t="s">
        <v>63</v>
      </c>
      <c r="D4" s="25" t="s">
        <v>64</v>
      </c>
      <c r="E4" s="25" t="s">
        <v>65</v>
      </c>
      <c r="F4" s="25" t="s">
        <v>66</v>
      </c>
      <c r="G4" s="25" t="s">
        <v>67</v>
      </c>
      <c r="H4" s="26" t="s">
        <v>68</v>
      </c>
      <c r="I4" s="26" t="s">
        <v>69</v>
      </c>
      <c r="J4" s="27">
        <v>12</v>
      </c>
      <c r="K4" s="27">
        <v>1</v>
      </c>
      <c r="L4" s="27">
        <f t="shared" ref="L4:L21" si="0">K4*J4</f>
        <v>12</v>
      </c>
      <c r="M4" s="27">
        <v>1</v>
      </c>
      <c r="N4" s="25">
        <f t="shared" ref="N4:N21" si="1">IFERROR(L4/M4,0)</f>
        <v>12</v>
      </c>
      <c r="O4" s="26">
        <v>362.26</v>
      </c>
      <c r="P4" s="26">
        <v>0</v>
      </c>
      <c r="Q4" s="26">
        <v>0</v>
      </c>
      <c r="R4" s="26">
        <v>0.15</v>
      </c>
      <c r="S4" s="26">
        <v>1</v>
      </c>
      <c r="T4" s="28">
        <f t="shared" ref="T4:T21" si="2">O4*N4*S4</f>
        <v>4347.12</v>
      </c>
      <c r="U4" s="28">
        <f t="shared" ref="U4:U21" si="3">P4*N4*S4</f>
        <v>0</v>
      </c>
      <c r="V4" s="28">
        <f t="shared" ref="V4:V21" si="4">Q4*N4*S4</f>
        <v>0</v>
      </c>
      <c r="W4" s="28">
        <f t="shared" ref="W4:W21" si="5">R4*N4</f>
        <v>1.7999999999999998</v>
      </c>
      <c r="X4" s="28">
        <f>T4*'Данные для расчета'!$B$2+U4*'Данные для расчета'!$B$4</f>
        <v>3042.9839999999999</v>
      </c>
      <c r="Y4" s="28">
        <f>T4*'Данные для расчета'!$B$3+V4*'Данные для расчета'!$B$5</f>
        <v>434.71199999999999</v>
      </c>
      <c r="Z4" s="28">
        <f t="shared" ref="Z4:Z21" si="6">T4+U4+W4+X4+Y4</f>
        <v>7826.616</v>
      </c>
      <c r="AA4" s="28">
        <f>ROUND(Z4*'Данные для расчета'!$B$7,2)</f>
        <v>1721.86</v>
      </c>
      <c r="AB4" s="28">
        <f t="shared" ref="AB4:AB21" si="7">Z4+AA4</f>
        <v>9548.4760000000006</v>
      </c>
      <c r="AC4" s="28">
        <f>O4/'Данные для расчета'!$B$12</f>
        <v>181.3113113113113</v>
      </c>
      <c r="AD4" s="28">
        <f t="shared" ref="AD4:AD21" si="8">P4-Q4+AE4</f>
        <v>0</v>
      </c>
      <c r="AE4" s="28">
        <f>Q4/'Данные для расчета'!$B$12</f>
        <v>0</v>
      </c>
      <c r="AF4" s="28">
        <f t="shared" ref="AF4:AF21" si="9">R4</f>
        <v>0.15</v>
      </c>
      <c r="AG4" s="28">
        <f t="shared" ref="AG4:AG21" si="10">AC4*$N4*$S4</f>
        <v>2175.7357357357355</v>
      </c>
      <c r="AH4" s="28">
        <f t="shared" ref="AH4:AH21" si="11">AD4*$N4*$S4</f>
        <v>0</v>
      </c>
      <c r="AI4" s="28">
        <f t="shared" ref="AI4:AI21" si="12">AE4*$N4*$S4</f>
        <v>0</v>
      </c>
      <c r="AJ4" s="28">
        <f t="shared" ref="AJ4:AJ21" si="13">AF4*$N4</f>
        <v>1.7999999999999998</v>
      </c>
      <c r="AK4" s="28">
        <f>AG4*'Данные для расчета'!$B$2+AI4*'Данные для расчета'!$B$4</f>
        <v>1523.0150150150148</v>
      </c>
      <c r="AL4" s="28">
        <f>AG4*'Данные для расчета'!$B$3+AI4*'Данные для расчета'!$B$5</f>
        <v>217.57357357357355</v>
      </c>
      <c r="AM4" s="29">
        <f t="shared" ref="AM4:AM21" si="14">AG4+AH4+AJ4+AK4+AL4</f>
        <v>3918.1243243243239</v>
      </c>
      <c r="AN4" s="28">
        <f>ROUND(AM4*'Данные для расчета'!$B$7,2)</f>
        <v>861.99</v>
      </c>
      <c r="AO4" s="30">
        <f t="shared" ref="AO4:AO21" si="15">AM4+AN4</f>
        <v>4780.1143243243241</v>
      </c>
      <c r="AP4" s="25">
        <v>0.52</v>
      </c>
      <c r="AQ4" s="25">
        <f t="shared" ref="AQ4:AQ21" si="16">N4*AP4</f>
        <v>6.24</v>
      </c>
    </row>
    <row r="5" spans="1:43" ht="15" customHeight="1" x14ac:dyDescent="0.25">
      <c r="A5" s="25">
        <v>2</v>
      </c>
      <c r="B5" s="25" t="s">
        <v>70</v>
      </c>
      <c r="C5" s="25" t="s">
        <v>71</v>
      </c>
      <c r="D5" s="25" t="s">
        <v>72</v>
      </c>
      <c r="E5" s="25" t="s">
        <v>73</v>
      </c>
      <c r="F5" s="25" t="s">
        <v>74</v>
      </c>
      <c r="G5" s="25" t="s">
        <v>75</v>
      </c>
      <c r="H5" s="26" t="s">
        <v>76</v>
      </c>
      <c r="I5" s="26" t="s">
        <v>77</v>
      </c>
      <c r="J5" s="27">
        <v>2</v>
      </c>
      <c r="K5" s="27">
        <v>1</v>
      </c>
      <c r="L5" s="27">
        <f t="shared" si="0"/>
        <v>2</v>
      </c>
      <c r="M5" s="27">
        <v>1</v>
      </c>
      <c r="N5" s="25">
        <f t="shared" si="1"/>
        <v>2</v>
      </c>
      <c r="O5" s="26">
        <v>2116.73</v>
      </c>
      <c r="P5" s="26">
        <v>1.18</v>
      </c>
      <c r="Q5" s="26">
        <v>0.01</v>
      </c>
      <c r="R5" s="26">
        <v>0</v>
      </c>
      <c r="S5" s="26">
        <v>1</v>
      </c>
      <c r="T5" s="28">
        <f t="shared" si="2"/>
        <v>4233.46</v>
      </c>
      <c r="U5" s="28">
        <f t="shared" si="3"/>
        <v>2.36</v>
      </c>
      <c r="V5" s="28">
        <f t="shared" si="4"/>
        <v>0.02</v>
      </c>
      <c r="W5" s="28">
        <f t="shared" si="5"/>
        <v>0</v>
      </c>
      <c r="X5" s="28">
        <f>T5*'Данные для расчета'!$B$2+U5*'Данные для расчета'!$B$4</f>
        <v>2965.2628</v>
      </c>
      <c r="Y5" s="28">
        <f>T5*'Данные для расчета'!$B$3+V5*'Данные для расчета'!$B$5</f>
        <v>423.35199999999998</v>
      </c>
      <c r="Z5" s="28">
        <f t="shared" si="6"/>
        <v>7624.4348</v>
      </c>
      <c r="AA5" s="28">
        <f>ROUND(Z5*'Данные для расчета'!$B$7,2)</f>
        <v>1677.38</v>
      </c>
      <c r="AB5" s="28">
        <f t="shared" si="7"/>
        <v>9301.8148000000001</v>
      </c>
      <c r="AC5" s="28">
        <f>O5/'Данные для расчета'!$B$12</f>
        <v>1059.4244244244244</v>
      </c>
      <c r="AD5" s="28">
        <f t="shared" si="8"/>
        <v>1.1750050050050049</v>
      </c>
      <c r="AE5" s="28">
        <f>Q5/'Данные для расчета'!$B$12</f>
        <v>5.005005005005005E-3</v>
      </c>
      <c r="AF5" s="28">
        <f t="shared" si="9"/>
        <v>0</v>
      </c>
      <c r="AG5" s="28">
        <f t="shared" si="10"/>
        <v>2118.8488488488488</v>
      </c>
      <c r="AH5" s="28">
        <f t="shared" si="11"/>
        <v>2.3500100100100099</v>
      </c>
      <c r="AI5" s="28">
        <f t="shared" si="12"/>
        <v>1.001001001001001E-2</v>
      </c>
      <c r="AJ5" s="28">
        <f t="shared" si="13"/>
        <v>0</v>
      </c>
      <c r="AK5" s="28">
        <f>AG5*'Данные для расчета'!$B$2+AI5*'Данные для расчета'!$B$4</f>
        <v>1483.2020020020018</v>
      </c>
      <c r="AL5" s="28">
        <f>AG5*'Данные для расчета'!$B$3+AI5*'Данные для расчета'!$B$5</f>
        <v>211.8878878878879</v>
      </c>
      <c r="AM5" s="29">
        <f t="shared" si="14"/>
        <v>3816.2887487487483</v>
      </c>
      <c r="AN5" s="28">
        <f>ROUND(AM5*'Данные для расчета'!$B$7,2)</f>
        <v>839.58</v>
      </c>
      <c r="AO5" s="31">
        <f t="shared" si="15"/>
        <v>4655.8687487487487</v>
      </c>
      <c r="AP5" s="25">
        <v>2.62</v>
      </c>
      <c r="AQ5" s="25">
        <f t="shared" si="16"/>
        <v>5.24</v>
      </c>
    </row>
    <row r="6" spans="1:43" ht="15" customHeight="1" x14ac:dyDescent="0.25">
      <c r="A6" s="25">
        <v>3</v>
      </c>
      <c r="B6" s="25" t="s">
        <v>78</v>
      </c>
      <c r="C6" s="25" t="s">
        <v>79</v>
      </c>
      <c r="D6" s="25" t="s">
        <v>80</v>
      </c>
      <c r="E6" s="25" t="s">
        <v>81</v>
      </c>
      <c r="F6" s="25" t="s">
        <v>82</v>
      </c>
      <c r="G6" s="25" t="s">
        <v>83</v>
      </c>
      <c r="H6" s="26" t="s">
        <v>84</v>
      </c>
      <c r="I6" s="26" t="s">
        <v>85</v>
      </c>
      <c r="J6" s="27">
        <v>1</v>
      </c>
      <c r="K6" s="27">
        <v>38</v>
      </c>
      <c r="L6" s="27">
        <f t="shared" si="0"/>
        <v>38</v>
      </c>
      <c r="M6" s="27">
        <v>1</v>
      </c>
      <c r="N6" s="25">
        <f t="shared" si="1"/>
        <v>38</v>
      </c>
      <c r="O6" s="26">
        <v>260.76</v>
      </c>
      <c r="P6" s="26">
        <v>55.13</v>
      </c>
      <c r="Q6" s="26">
        <v>33.229999999999997</v>
      </c>
      <c r="R6" s="26">
        <v>9.7799999999999994</v>
      </c>
      <c r="S6" s="32">
        <v>0.7</v>
      </c>
      <c r="T6" s="28">
        <f t="shared" si="2"/>
        <v>6936.2159999999994</v>
      </c>
      <c r="U6" s="28">
        <f t="shared" si="3"/>
        <v>1466.4579999999999</v>
      </c>
      <c r="V6" s="28">
        <f t="shared" si="4"/>
        <v>883.91799999999978</v>
      </c>
      <c r="W6" s="28">
        <f t="shared" si="5"/>
        <v>371.64</v>
      </c>
      <c r="X6" s="28">
        <f>T6*'Данные для расчета'!$B$2+U6*'Данные для расчета'!$B$4</f>
        <v>5999.188439999999</v>
      </c>
      <c r="Y6" s="28">
        <f>T6*'Данные для расчета'!$B$3+V6*'Данные для расчета'!$B$5</f>
        <v>958.7969999999998</v>
      </c>
      <c r="Z6" s="28">
        <f t="shared" si="6"/>
        <v>15732.299439999997</v>
      </c>
      <c r="AA6" s="28">
        <f>ROUND(Z6*'Данные для расчета'!$B$7,2)</f>
        <v>3461.11</v>
      </c>
      <c r="AB6" s="28">
        <f t="shared" si="7"/>
        <v>19193.409439999996</v>
      </c>
      <c r="AC6" s="28">
        <f>O6/'Данные для расчета'!$B$12</f>
        <v>130.5105105105105</v>
      </c>
      <c r="AD6" s="28">
        <f t="shared" si="8"/>
        <v>38.53163163163164</v>
      </c>
      <c r="AE6" s="28">
        <f>Q6/'Данные для расчета'!$B$12</f>
        <v>16.631631631631631</v>
      </c>
      <c r="AF6" s="28">
        <f t="shared" si="9"/>
        <v>9.7799999999999994</v>
      </c>
      <c r="AG6" s="28">
        <f t="shared" si="10"/>
        <v>3471.5795795795793</v>
      </c>
      <c r="AH6" s="28">
        <f t="shared" si="11"/>
        <v>1024.9414014014014</v>
      </c>
      <c r="AI6" s="28">
        <f t="shared" si="12"/>
        <v>442.40140140140136</v>
      </c>
      <c r="AJ6" s="28">
        <f t="shared" si="13"/>
        <v>371.64</v>
      </c>
      <c r="AK6" s="28">
        <f>AG6*'Данные для расчета'!$B$2+AI6*'Данные для расчета'!$B$4</f>
        <v>2775.1787987987987</v>
      </c>
      <c r="AL6" s="28">
        <f>AG6*'Данные для расчета'!$B$3+AI6*'Данные для расчета'!$B$5</f>
        <v>479.87837837837833</v>
      </c>
      <c r="AM6" s="28">
        <f t="shared" si="14"/>
        <v>8123.2181581581572</v>
      </c>
      <c r="AN6" s="28">
        <f>ROUND(AM6*'Данные для расчета'!$B$7,2)</f>
        <v>1787.11</v>
      </c>
      <c r="AO6" s="28">
        <f>(AM6+AN6)</f>
        <v>9910.3281581581577</v>
      </c>
      <c r="AP6" s="25">
        <v>0.35</v>
      </c>
      <c r="AQ6" s="25">
        <f t="shared" si="16"/>
        <v>13.299999999999999</v>
      </c>
    </row>
    <row r="7" spans="1:43" ht="15" customHeight="1" x14ac:dyDescent="0.25">
      <c r="A7" s="25">
        <v>4</v>
      </c>
      <c r="B7" s="25" t="s">
        <v>86</v>
      </c>
      <c r="C7" s="25" t="s">
        <v>87</v>
      </c>
      <c r="D7" s="25" t="s">
        <v>80</v>
      </c>
      <c r="E7" s="25" t="s">
        <v>88</v>
      </c>
      <c r="F7" s="25" t="s">
        <v>89</v>
      </c>
      <c r="G7" s="25" t="s">
        <v>90</v>
      </c>
      <c r="H7" s="26" t="s">
        <v>84</v>
      </c>
      <c r="I7" s="26" t="s">
        <v>77</v>
      </c>
      <c r="J7" s="27">
        <v>1</v>
      </c>
      <c r="K7" s="27">
        <v>4</v>
      </c>
      <c r="L7" s="27">
        <f t="shared" si="0"/>
        <v>4</v>
      </c>
      <c r="M7" s="27">
        <v>1</v>
      </c>
      <c r="N7" s="25">
        <f t="shared" si="1"/>
        <v>4</v>
      </c>
      <c r="O7" s="26">
        <v>116.69</v>
      </c>
      <c r="P7" s="26">
        <v>0</v>
      </c>
      <c r="Q7" s="26">
        <v>0</v>
      </c>
      <c r="R7" s="26">
        <v>2.02</v>
      </c>
      <c r="S7" s="26">
        <v>1</v>
      </c>
      <c r="T7" s="28">
        <f t="shared" si="2"/>
        <v>466.76</v>
      </c>
      <c r="U7" s="28">
        <f t="shared" si="3"/>
        <v>0</v>
      </c>
      <c r="V7" s="28">
        <f t="shared" si="4"/>
        <v>0</v>
      </c>
      <c r="W7" s="28">
        <f t="shared" si="5"/>
        <v>8.08</v>
      </c>
      <c r="X7" s="28">
        <f>T7*'Данные для расчета'!$B$2+U7*'Данные для расчета'!$B$4</f>
        <v>326.73199999999997</v>
      </c>
      <c r="Y7" s="28">
        <f>T7*'Данные для расчета'!$B$3+V7*'Данные для расчета'!$B$5</f>
        <v>46.676000000000002</v>
      </c>
      <c r="Z7" s="28">
        <f t="shared" si="6"/>
        <v>848.24799999999993</v>
      </c>
      <c r="AA7" s="28">
        <f>ROUND(Z7*'Данные для расчета'!$B$7,2)</f>
        <v>186.61</v>
      </c>
      <c r="AB7" s="28">
        <f t="shared" si="7"/>
        <v>1034.8579999999999</v>
      </c>
      <c r="AC7" s="28">
        <f>O7/'Данные для расчета'!$B$12</f>
        <v>58.403403403403402</v>
      </c>
      <c r="AD7" s="28">
        <f t="shared" si="8"/>
        <v>0</v>
      </c>
      <c r="AE7" s="28">
        <f>Q7/'Данные для расчета'!$B$12</f>
        <v>0</v>
      </c>
      <c r="AF7" s="28">
        <f t="shared" si="9"/>
        <v>2.02</v>
      </c>
      <c r="AG7" s="28">
        <f t="shared" si="10"/>
        <v>233.61361361361361</v>
      </c>
      <c r="AH7" s="28">
        <f t="shared" si="11"/>
        <v>0</v>
      </c>
      <c r="AI7" s="28">
        <f t="shared" si="12"/>
        <v>0</v>
      </c>
      <c r="AJ7" s="28">
        <f t="shared" si="13"/>
        <v>8.08</v>
      </c>
      <c r="AK7" s="28">
        <f>AG7*'Данные для расчета'!$B$2+AI7*'Данные для расчета'!$B$4</f>
        <v>163.52952952952953</v>
      </c>
      <c r="AL7" s="28">
        <f>AG7*'Данные для расчета'!$B$3+AI7*'Данные для расчета'!$B$5</f>
        <v>23.361361361361361</v>
      </c>
      <c r="AM7" s="29">
        <f t="shared" si="14"/>
        <v>428.58450450450448</v>
      </c>
      <c r="AN7" s="28">
        <f>ROUND(AM7*'Данные для расчета'!$B$7,2)</f>
        <v>94.29</v>
      </c>
      <c r="AO7" s="30">
        <f t="shared" si="15"/>
        <v>522.87450450450444</v>
      </c>
      <c r="AP7" s="25">
        <v>0.18</v>
      </c>
      <c r="AQ7" s="25">
        <f t="shared" si="16"/>
        <v>0.72</v>
      </c>
    </row>
    <row r="8" spans="1:43" ht="15" customHeight="1" x14ac:dyDescent="0.25">
      <c r="A8" s="25">
        <v>5</v>
      </c>
      <c r="B8" s="25" t="s">
        <v>91</v>
      </c>
      <c r="C8" s="25" t="s">
        <v>92</v>
      </c>
      <c r="D8" s="25" t="s">
        <v>80</v>
      </c>
      <c r="E8" s="25" t="s">
        <v>88</v>
      </c>
      <c r="F8" s="25" t="s">
        <v>93</v>
      </c>
      <c r="G8" s="25" t="s">
        <v>94</v>
      </c>
      <c r="H8" s="26" t="s">
        <v>84</v>
      </c>
      <c r="I8" s="26" t="s">
        <v>77</v>
      </c>
      <c r="J8" s="27">
        <v>1</v>
      </c>
      <c r="K8" s="27">
        <v>68</v>
      </c>
      <c r="L8" s="27">
        <f t="shared" si="0"/>
        <v>68</v>
      </c>
      <c r="M8" s="27">
        <v>1</v>
      </c>
      <c r="N8" s="25">
        <f t="shared" si="1"/>
        <v>68</v>
      </c>
      <c r="O8" s="26">
        <v>90.76</v>
      </c>
      <c r="P8" s="26">
        <v>0</v>
      </c>
      <c r="Q8" s="26">
        <v>0</v>
      </c>
      <c r="R8" s="26">
        <v>2.02</v>
      </c>
      <c r="S8" s="26">
        <v>1</v>
      </c>
      <c r="T8" s="28">
        <f t="shared" si="2"/>
        <v>6171.68</v>
      </c>
      <c r="U8" s="28">
        <f t="shared" si="3"/>
        <v>0</v>
      </c>
      <c r="V8" s="28">
        <f t="shared" si="4"/>
        <v>0</v>
      </c>
      <c r="W8" s="28">
        <f t="shared" si="5"/>
        <v>137.36000000000001</v>
      </c>
      <c r="X8" s="28">
        <f>T8*'Данные для расчета'!$B$2+U8*'Данные для расчета'!$B$4</f>
        <v>4320.1759999999995</v>
      </c>
      <c r="Y8" s="28">
        <f>T8*'Данные для расчета'!$B$3+V8*'Данные для расчета'!$B$5</f>
        <v>617.16800000000012</v>
      </c>
      <c r="Z8" s="28">
        <f t="shared" si="6"/>
        <v>11246.384</v>
      </c>
      <c r="AA8" s="28">
        <f>ROUND(Z8*'Данные для расчета'!$B$7,2)</f>
        <v>2474.1999999999998</v>
      </c>
      <c r="AB8" s="28">
        <f t="shared" si="7"/>
        <v>13720.583999999999</v>
      </c>
      <c r="AC8" s="28">
        <f>O8/'Данные для расчета'!$B$12</f>
        <v>45.425425425425431</v>
      </c>
      <c r="AD8" s="28">
        <f t="shared" si="8"/>
        <v>0</v>
      </c>
      <c r="AE8" s="28">
        <f>Q8/'Данные для расчета'!$B$12</f>
        <v>0</v>
      </c>
      <c r="AF8" s="28">
        <f t="shared" si="9"/>
        <v>2.02</v>
      </c>
      <c r="AG8" s="28">
        <f t="shared" si="10"/>
        <v>3088.9289289289291</v>
      </c>
      <c r="AH8" s="28">
        <f t="shared" si="11"/>
        <v>0</v>
      </c>
      <c r="AI8" s="28">
        <f t="shared" si="12"/>
        <v>0</v>
      </c>
      <c r="AJ8" s="28">
        <f t="shared" si="13"/>
        <v>137.36000000000001</v>
      </c>
      <c r="AK8" s="28">
        <f>AG8*'Данные для расчета'!$B$2+AI8*'Данные для расчета'!$B$4</f>
        <v>2162.2502502502502</v>
      </c>
      <c r="AL8" s="28">
        <f>AG8*'Данные для расчета'!$B$3+AI8*'Данные для расчета'!$B$5</f>
        <v>308.89289289289292</v>
      </c>
      <c r="AM8" s="29">
        <f t="shared" si="14"/>
        <v>5697.4320720720716</v>
      </c>
      <c r="AN8" s="28">
        <f>ROUND(AM8*'Данные для расчета'!$B$7,2)</f>
        <v>1253.44</v>
      </c>
      <c r="AO8" s="30">
        <f t="shared" si="15"/>
        <v>6950.8720720720721</v>
      </c>
      <c r="AP8" s="25">
        <v>0.14000000000000001</v>
      </c>
      <c r="AQ8" s="25">
        <f t="shared" si="16"/>
        <v>9.5200000000000014</v>
      </c>
    </row>
    <row r="9" spans="1:43" ht="15" customHeight="1" x14ac:dyDescent="0.25">
      <c r="A9" s="25">
        <v>7</v>
      </c>
      <c r="B9" s="25" t="s">
        <v>95</v>
      </c>
      <c r="C9" s="25" t="s">
        <v>96</v>
      </c>
      <c r="D9" s="25" t="s">
        <v>97</v>
      </c>
      <c r="E9" s="25" t="s">
        <v>98</v>
      </c>
      <c r="F9" s="25" t="s">
        <v>99</v>
      </c>
      <c r="G9" s="25" t="s">
        <v>100</v>
      </c>
      <c r="H9" s="26" t="s">
        <v>76</v>
      </c>
      <c r="I9" s="26" t="s">
        <v>101</v>
      </c>
      <c r="J9" s="27">
        <v>2</v>
      </c>
      <c r="K9" s="27">
        <v>38</v>
      </c>
      <c r="L9" s="27">
        <f t="shared" si="0"/>
        <v>76</v>
      </c>
      <c r="M9" s="27">
        <v>1</v>
      </c>
      <c r="N9" s="25">
        <f t="shared" si="1"/>
        <v>76</v>
      </c>
      <c r="O9" s="26">
        <v>244.77</v>
      </c>
      <c r="P9" s="26">
        <v>0</v>
      </c>
      <c r="Q9" s="26">
        <v>0</v>
      </c>
      <c r="R9" s="26">
        <v>0</v>
      </c>
      <c r="S9" s="26">
        <v>1</v>
      </c>
      <c r="T9" s="28">
        <f t="shared" si="2"/>
        <v>18602.52</v>
      </c>
      <c r="U9" s="28">
        <f t="shared" si="3"/>
        <v>0</v>
      </c>
      <c r="V9" s="28">
        <f t="shared" si="4"/>
        <v>0</v>
      </c>
      <c r="W9" s="28">
        <f t="shared" si="5"/>
        <v>0</v>
      </c>
      <c r="X9" s="28">
        <f>T9*'Данные для расчета'!$B$2+U9*'Данные для расчета'!$B$4</f>
        <v>13021.763999999999</v>
      </c>
      <c r="Y9" s="28">
        <f>T9*'Данные для расчета'!$B$3+V9*'Данные для расчета'!$B$5</f>
        <v>1860.2520000000002</v>
      </c>
      <c r="Z9" s="28">
        <f t="shared" si="6"/>
        <v>33484.536</v>
      </c>
      <c r="AA9" s="28">
        <f>ROUND(Z9*'Данные для расчета'!$B$7,2)</f>
        <v>7366.6</v>
      </c>
      <c r="AB9" s="28">
        <f t="shared" si="7"/>
        <v>40851.135999999999</v>
      </c>
      <c r="AC9" s="28">
        <f>O9/'Данные для расчета'!$B$12</f>
        <v>122.50750750750751</v>
      </c>
      <c r="AD9" s="28">
        <f t="shared" si="8"/>
        <v>0</v>
      </c>
      <c r="AE9" s="28">
        <f>Q9/'Данные для расчета'!$B$12</f>
        <v>0</v>
      </c>
      <c r="AF9" s="28">
        <f t="shared" si="9"/>
        <v>0</v>
      </c>
      <c r="AG9" s="28">
        <f t="shared" si="10"/>
        <v>9310.5705705705714</v>
      </c>
      <c r="AH9" s="28">
        <f t="shared" si="11"/>
        <v>0</v>
      </c>
      <c r="AI9" s="28">
        <f t="shared" si="12"/>
        <v>0</v>
      </c>
      <c r="AJ9" s="28">
        <f t="shared" si="13"/>
        <v>0</v>
      </c>
      <c r="AK9" s="28">
        <f>AG9*'Данные для расчета'!$B$2+AI9*'Данные для расчета'!$B$4</f>
        <v>6517.3993993994</v>
      </c>
      <c r="AL9" s="28">
        <f>AG9*'Данные для расчета'!$B$3+AI9*'Данные для расчета'!$B$5</f>
        <v>931.05705705705714</v>
      </c>
      <c r="AM9" s="29">
        <f t="shared" si="14"/>
        <v>16759.027027027027</v>
      </c>
      <c r="AN9" s="28">
        <f>ROUND(AM9*'Данные для расчета'!$B$7,2)</f>
        <v>3686.99</v>
      </c>
      <c r="AO9" s="30">
        <f t="shared" si="15"/>
        <v>20446.017027027025</v>
      </c>
      <c r="AP9" s="25">
        <v>0.46</v>
      </c>
      <c r="AQ9" s="25">
        <f t="shared" si="16"/>
        <v>34.96</v>
      </c>
    </row>
    <row r="10" spans="1:43" ht="15" customHeight="1" x14ac:dyDescent="0.25">
      <c r="A10" s="25">
        <v>9</v>
      </c>
      <c r="B10" s="25" t="s">
        <v>102</v>
      </c>
      <c r="C10" s="25" t="s">
        <v>103</v>
      </c>
      <c r="D10" s="25" t="s">
        <v>103</v>
      </c>
      <c r="E10" s="25" t="s">
        <v>104</v>
      </c>
      <c r="F10" t="s">
        <v>237</v>
      </c>
      <c r="G10" s="25" t="s">
        <v>105</v>
      </c>
      <c r="H10" s="26" t="s">
        <v>84</v>
      </c>
      <c r="I10" s="25" t="s">
        <v>106</v>
      </c>
      <c r="J10" s="27">
        <v>1</v>
      </c>
      <c r="K10" s="27">
        <v>38</v>
      </c>
      <c r="L10" s="27">
        <f t="shared" si="0"/>
        <v>38</v>
      </c>
      <c r="M10" s="27">
        <v>10</v>
      </c>
      <c r="N10" s="25">
        <f t="shared" si="1"/>
        <v>3.8</v>
      </c>
      <c r="O10" s="26">
        <v>194.48</v>
      </c>
      <c r="P10" s="26">
        <v>0</v>
      </c>
      <c r="Q10" s="26">
        <v>0</v>
      </c>
      <c r="R10" s="26">
        <v>0</v>
      </c>
      <c r="S10" s="26">
        <v>1</v>
      </c>
      <c r="T10" s="28">
        <f t="shared" si="2"/>
        <v>739.02399999999989</v>
      </c>
      <c r="U10" s="28">
        <f t="shared" si="3"/>
        <v>0</v>
      </c>
      <c r="V10" s="28">
        <f t="shared" si="4"/>
        <v>0</v>
      </c>
      <c r="W10" s="28">
        <f t="shared" si="5"/>
        <v>0</v>
      </c>
      <c r="X10" s="28">
        <f>T10*'Данные для расчета'!$B$2+U10*'Данные для расчета'!$B$4</f>
        <v>517.31679999999994</v>
      </c>
      <c r="Y10" s="28">
        <f>T10*'Данные для расчета'!$B$3+V10*'Данные для расчета'!$B$5</f>
        <v>73.902399999999986</v>
      </c>
      <c r="Z10" s="28">
        <f t="shared" si="6"/>
        <v>1330.2431999999999</v>
      </c>
      <c r="AA10" s="28">
        <f>ROUND(Z10*'Данные для расчета'!$B$7,2)</f>
        <v>292.64999999999998</v>
      </c>
      <c r="AB10" s="28">
        <f t="shared" si="7"/>
        <v>1622.8932</v>
      </c>
      <c r="AC10" s="28">
        <f>O10/'Данные для расчета'!$B$12</f>
        <v>97.337337337337331</v>
      </c>
      <c r="AD10" s="28">
        <f t="shared" si="8"/>
        <v>0</v>
      </c>
      <c r="AE10" s="28">
        <f>Q10/'Данные для расчета'!$B$12</f>
        <v>0</v>
      </c>
      <c r="AF10" s="28">
        <f t="shared" si="9"/>
        <v>0</v>
      </c>
      <c r="AG10" s="28">
        <f t="shared" si="10"/>
        <v>369.88188188188184</v>
      </c>
      <c r="AH10" s="28">
        <f t="shared" si="11"/>
        <v>0</v>
      </c>
      <c r="AI10" s="28">
        <f t="shared" si="12"/>
        <v>0</v>
      </c>
      <c r="AJ10" s="28">
        <f t="shared" si="13"/>
        <v>0</v>
      </c>
      <c r="AK10" s="28">
        <f>AG10*'Данные для расчета'!$B$2+AI10*'Данные для расчета'!$B$4</f>
        <v>258.91731731731727</v>
      </c>
      <c r="AL10" s="28">
        <f>AG10*'Данные для расчета'!$B$3+AI10*'Данные для расчета'!$B$5</f>
        <v>36.988188188188182</v>
      </c>
      <c r="AM10" s="29">
        <f t="shared" si="14"/>
        <v>665.7873873873873</v>
      </c>
      <c r="AN10" s="28">
        <f>ROUND(AM10*'Данные для расчета'!$B$7,2)</f>
        <v>146.47</v>
      </c>
      <c r="AO10" s="29">
        <f t="shared" si="15"/>
        <v>812.25738738738733</v>
      </c>
      <c r="AP10" s="25">
        <v>0.01</v>
      </c>
      <c r="AQ10" s="25">
        <f t="shared" si="16"/>
        <v>3.7999999999999999E-2</v>
      </c>
    </row>
    <row r="11" spans="1:43" ht="15" customHeight="1" x14ac:dyDescent="0.25">
      <c r="A11" s="25">
        <v>10</v>
      </c>
      <c r="B11" s="25" t="s">
        <v>107</v>
      </c>
      <c r="C11" s="25" t="s">
        <v>108</v>
      </c>
      <c r="D11" s="25" t="s">
        <v>109</v>
      </c>
      <c r="E11" s="25" t="s">
        <v>110</v>
      </c>
      <c r="F11" s="25" t="s">
        <v>111</v>
      </c>
      <c r="G11" s="25" t="s">
        <v>112</v>
      </c>
      <c r="H11" s="26" t="s">
        <v>76</v>
      </c>
      <c r="I11" s="26" t="s">
        <v>113</v>
      </c>
      <c r="J11" s="27">
        <v>2</v>
      </c>
      <c r="K11" s="27">
        <v>59</v>
      </c>
      <c r="L11" s="27">
        <f t="shared" si="0"/>
        <v>118</v>
      </c>
      <c r="M11" s="27">
        <v>1</v>
      </c>
      <c r="N11" s="25">
        <f t="shared" si="1"/>
        <v>118</v>
      </c>
      <c r="O11" s="26">
        <v>230.96</v>
      </c>
      <c r="P11" s="26">
        <v>13.78</v>
      </c>
      <c r="Q11" s="26">
        <v>8.31</v>
      </c>
      <c r="R11" s="26">
        <v>0.43</v>
      </c>
      <c r="S11" s="26">
        <v>1</v>
      </c>
      <c r="T11" s="28">
        <f t="shared" si="2"/>
        <v>27253.280000000002</v>
      </c>
      <c r="U11" s="28">
        <f t="shared" si="3"/>
        <v>1626.04</v>
      </c>
      <c r="V11" s="28">
        <f t="shared" si="4"/>
        <v>980.58</v>
      </c>
      <c r="W11" s="28">
        <f t="shared" si="5"/>
        <v>50.74</v>
      </c>
      <c r="X11" s="28">
        <f>T11*'Данные для расчета'!$B$2+U11*'Данные для расчета'!$B$4</f>
        <v>20345.607200000002</v>
      </c>
      <c r="Y11" s="28">
        <f>T11*'Данные для расчета'!$B$3+V11*'Данные для расчета'!$B$5</f>
        <v>3019.5020000000004</v>
      </c>
      <c r="Z11" s="28">
        <f t="shared" si="6"/>
        <v>52295.169200000011</v>
      </c>
      <c r="AA11" s="28">
        <f>ROUND(Z11*'Данные для расчета'!$B$7,2)</f>
        <v>11504.94</v>
      </c>
      <c r="AB11" s="28">
        <f t="shared" si="7"/>
        <v>63800.109200000014</v>
      </c>
      <c r="AC11" s="28">
        <f>O11/'Данные для расчета'!$B$12</f>
        <v>115.5955955955956</v>
      </c>
      <c r="AD11" s="28">
        <f t="shared" si="8"/>
        <v>9.6291591591591583</v>
      </c>
      <c r="AE11" s="28">
        <f>Q11/'Данные для расчета'!$B$12</f>
        <v>4.1591591591591595</v>
      </c>
      <c r="AF11" s="28">
        <f t="shared" si="9"/>
        <v>0.43</v>
      </c>
      <c r="AG11" s="28">
        <f t="shared" si="10"/>
        <v>13640.28028028028</v>
      </c>
      <c r="AH11" s="28">
        <f t="shared" si="11"/>
        <v>1136.2407807807806</v>
      </c>
      <c r="AI11" s="28">
        <f t="shared" si="12"/>
        <v>490.78078078078079</v>
      </c>
      <c r="AJ11" s="28">
        <f t="shared" si="13"/>
        <v>50.74</v>
      </c>
      <c r="AK11" s="28">
        <f>AG11*'Данные для расчета'!$B$2+AI11*'Данные для расчета'!$B$4</f>
        <v>9931.0052052052033</v>
      </c>
      <c r="AL11" s="28">
        <f>AG11*'Данные для расчета'!$B$3+AI11*'Данные для расчета'!$B$5</f>
        <v>1511.2622622622623</v>
      </c>
      <c r="AM11" s="29">
        <f t="shared" si="14"/>
        <v>26269.528528528524</v>
      </c>
      <c r="AN11" s="28">
        <f>ROUND(AM11*'Данные для расчета'!$B$7,2)</f>
        <v>5779.3</v>
      </c>
      <c r="AO11" s="28">
        <f t="shared" si="15"/>
        <v>32048.828528528524</v>
      </c>
      <c r="AP11" s="25">
        <v>0.31</v>
      </c>
      <c r="AQ11" s="25">
        <f t="shared" si="16"/>
        <v>36.58</v>
      </c>
    </row>
    <row r="12" spans="1:43" ht="15" customHeight="1" x14ac:dyDescent="0.25">
      <c r="A12" s="27">
        <v>11</v>
      </c>
      <c r="B12" s="25" t="s">
        <v>114</v>
      </c>
      <c r="C12" s="25" t="s">
        <v>115</v>
      </c>
      <c r="D12" s="25" t="s">
        <v>64</v>
      </c>
      <c r="E12" s="25" t="s">
        <v>116</v>
      </c>
      <c r="F12" s="25" t="s">
        <v>117</v>
      </c>
      <c r="G12" s="25" t="s">
        <v>118</v>
      </c>
      <c r="H12" s="26" t="s">
        <v>68</v>
      </c>
      <c r="I12" s="26" t="s">
        <v>119</v>
      </c>
      <c r="J12" s="27">
        <v>12</v>
      </c>
      <c r="K12" s="27">
        <v>5</v>
      </c>
      <c r="L12" s="27">
        <f t="shared" si="0"/>
        <v>60</v>
      </c>
      <c r="M12" s="27">
        <v>10</v>
      </c>
      <c r="N12" s="25">
        <f t="shared" si="1"/>
        <v>6</v>
      </c>
      <c r="O12" s="26">
        <v>453.79</v>
      </c>
      <c r="P12" s="26">
        <v>0.77</v>
      </c>
      <c r="Q12" s="26">
        <v>0.01</v>
      </c>
      <c r="R12" s="26">
        <v>0</v>
      </c>
      <c r="S12" s="26">
        <v>1</v>
      </c>
      <c r="T12" s="28">
        <f t="shared" si="2"/>
        <v>2722.7400000000002</v>
      </c>
      <c r="U12" s="28">
        <f t="shared" si="3"/>
        <v>4.62</v>
      </c>
      <c r="V12" s="28">
        <f t="shared" si="4"/>
        <v>0.06</v>
      </c>
      <c r="W12" s="28">
        <f t="shared" si="5"/>
        <v>0</v>
      </c>
      <c r="X12" s="28">
        <f>T12*'Данные для расчета'!$B$2+U12*'Данные для расчета'!$B$4</f>
        <v>1909.5216</v>
      </c>
      <c r="Y12" s="28">
        <f>T12*'Данные для расчета'!$B$3+V12*'Данные для расчета'!$B$5</f>
        <v>272.29200000000003</v>
      </c>
      <c r="Z12" s="28">
        <f t="shared" si="6"/>
        <v>4909.173600000001</v>
      </c>
      <c r="AA12" s="28">
        <f>ROUND(Z12*'Данные для расчета'!$B$7,2)</f>
        <v>1080.02</v>
      </c>
      <c r="AB12" s="28">
        <f t="shared" si="7"/>
        <v>5989.1936000000005</v>
      </c>
      <c r="AC12" s="28">
        <f>O12/'Данные для расчета'!$B$12</f>
        <v>227.12212212212214</v>
      </c>
      <c r="AD12" s="28">
        <f t="shared" si="8"/>
        <v>0.76500500500500501</v>
      </c>
      <c r="AE12" s="28">
        <f>Q12/'Данные для расчета'!$B$12</f>
        <v>5.005005005005005E-3</v>
      </c>
      <c r="AF12" s="28">
        <f t="shared" si="9"/>
        <v>0</v>
      </c>
      <c r="AG12" s="28">
        <f t="shared" si="10"/>
        <v>1362.7327327327328</v>
      </c>
      <c r="AH12" s="28">
        <f t="shared" si="11"/>
        <v>4.5900300300300305</v>
      </c>
      <c r="AI12" s="28">
        <f t="shared" si="12"/>
        <v>3.003003003003003E-2</v>
      </c>
      <c r="AJ12" s="28">
        <f t="shared" si="13"/>
        <v>0</v>
      </c>
      <c r="AK12" s="28">
        <f>AG12*'Данные для расчета'!$B$2+AI12*'Данные для расчета'!$B$4</f>
        <v>953.93633633633624</v>
      </c>
      <c r="AL12" s="28">
        <f>AG12*'Данные для расчета'!$B$3+AI12*'Данные для расчета'!$B$5</f>
        <v>136.2822822822823</v>
      </c>
      <c r="AM12" s="29">
        <f t="shared" si="14"/>
        <v>2457.5413813813811</v>
      </c>
      <c r="AN12" s="28">
        <f>ROUND(AM12*'Данные для расчета'!$B$7,2)</f>
        <v>540.66</v>
      </c>
      <c r="AO12" s="28">
        <f t="shared" si="15"/>
        <v>2998.201381381381</v>
      </c>
      <c r="AP12" s="25">
        <v>0.7</v>
      </c>
      <c r="AQ12" s="25">
        <f t="shared" si="16"/>
        <v>4.1999999999999993</v>
      </c>
    </row>
    <row r="13" spans="1:43" ht="15" customHeight="1" x14ac:dyDescent="0.25">
      <c r="A13" s="25">
        <v>12</v>
      </c>
      <c r="B13" s="25" t="s">
        <v>120</v>
      </c>
      <c r="C13" s="25" t="s">
        <v>121</v>
      </c>
      <c r="D13" s="25" t="s">
        <v>122</v>
      </c>
      <c r="E13" s="25" t="s">
        <v>123</v>
      </c>
      <c r="F13" s="25" t="s">
        <v>124</v>
      </c>
      <c r="G13" s="25" t="s">
        <v>125</v>
      </c>
      <c r="H13" s="26" t="s">
        <v>76</v>
      </c>
      <c r="I13" s="26" t="s">
        <v>77</v>
      </c>
      <c r="J13" s="27">
        <v>2</v>
      </c>
      <c r="K13" s="27">
        <v>1</v>
      </c>
      <c r="L13" s="27">
        <f t="shared" si="0"/>
        <v>2</v>
      </c>
      <c r="M13" s="27">
        <v>1</v>
      </c>
      <c r="N13" s="25">
        <f t="shared" si="1"/>
        <v>2</v>
      </c>
      <c r="O13" s="26">
        <v>90.76</v>
      </c>
      <c r="P13" s="26">
        <v>0</v>
      </c>
      <c r="Q13" s="26">
        <v>0</v>
      </c>
      <c r="R13" s="26">
        <v>4.4400000000000004</v>
      </c>
      <c r="S13" s="26">
        <v>1</v>
      </c>
      <c r="T13" s="28">
        <f t="shared" si="2"/>
        <v>181.52</v>
      </c>
      <c r="U13" s="28">
        <f t="shared" si="3"/>
        <v>0</v>
      </c>
      <c r="V13" s="28">
        <f t="shared" si="4"/>
        <v>0</v>
      </c>
      <c r="W13" s="28">
        <f t="shared" si="5"/>
        <v>8.8800000000000008</v>
      </c>
      <c r="X13" s="28">
        <f>T13*'Данные для расчета'!$B$2+U13*'Данные для расчета'!$B$4</f>
        <v>127.06399999999999</v>
      </c>
      <c r="Y13" s="28">
        <f>T13*'Данные для расчета'!$B$3+V13*'Данные для расчета'!$B$5</f>
        <v>18.152000000000001</v>
      </c>
      <c r="Z13" s="28">
        <f t="shared" si="6"/>
        <v>335.61599999999999</v>
      </c>
      <c r="AA13" s="28">
        <f>ROUND(Z13*'Данные для расчета'!$B$7,2)</f>
        <v>73.84</v>
      </c>
      <c r="AB13" s="28">
        <f t="shared" si="7"/>
        <v>409.45600000000002</v>
      </c>
      <c r="AC13" s="28">
        <f>O13/'Данные для расчета'!$B$12</f>
        <v>45.425425425425431</v>
      </c>
      <c r="AD13" s="28">
        <f t="shared" si="8"/>
        <v>0</v>
      </c>
      <c r="AE13" s="28">
        <f>Q13/'Данные для расчета'!$B$12</f>
        <v>0</v>
      </c>
      <c r="AF13" s="28">
        <f t="shared" si="9"/>
        <v>4.4400000000000004</v>
      </c>
      <c r="AG13" s="28">
        <f t="shared" si="10"/>
        <v>90.850850850850861</v>
      </c>
      <c r="AH13" s="28">
        <f t="shared" si="11"/>
        <v>0</v>
      </c>
      <c r="AI13" s="28">
        <f t="shared" si="12"/>
        <v>0</v>
      </c>
      <c r="AJ13" s="28">
        <f t="shared" si="13"/>
        <v>8.8800000000000008</v>
      </c>
      <c r="AK13" s="28">
        <f>AG13*'Данные для расчета'!$B$2+AI13*'Данные для расчета'!$B$4</f>
        <v>63.595595595595597</v>
      </c>
      <c r="AL13" s="28">
        <f>AG13*'Данные для расчета'!$B$3+AI13*'Данные для расчета'!$B$5</f>
        <v>9.0850850850850868</v>
      </c>
      <c r="AM13" s="29">
        <f t="shared" si="14"/>
        <v>172.41153153153155</v>
      </c>
      <c r="AN13" s="28">
        <f>ROUND(AM13*'Данные для расчета'!$B$7,2)</f>
        <v>37.93</v>
      </c>
      <c r="AO13" s="28">
        <f t="shared" si="15"/>
        <v>210.34153153153156</v>
      </c>
      <c r="AP13" s="25">
        <v>0.14000000000000001</v>
      </c>
      <c r="AQ13" s="25">
        <f t="shared" si="16"/>
        <v>0.28000000000000003</v>
      </c>
    </row>
    <row r="14" spans="1:43" ht="15" customHeight="1" x14ac:dyDescent="0.25">
      <c r="A14" s="27">
        <v>13</v>
      </c>
      <c r="B14" s="25" t="s">
        <v>126</v>
      </c>
      <c r="C14" s="25" t="s">
        <v>127</v>
      </c>
      <c r="D14" s="25" t="s">
        <v>128</v>
      </c>
      <c r="E14" s="25" t="s">
        <v>129</v>
      </c>
      <c r="F14" s="25" t="s">
        <v>130</v>
      </c>
      <c r="G14" s="25" t="s">
        <v>131</v>
      </c>
      <c r="H14" s="26" t="s">
        <v>84</v>
      </c>
      <c r="I14" s="26" t="s">
        <v>77</v>
      </c>
      <c r="J14" s="27">
        <v>1</v>
      </c>
      <c r="K14" s="27">
        <v>2</v>
      </c>
      <c r="L14" s="27">
        <f t="shared" si="0"/>
        <v>2</v>
      </c>
      <c r="M14" s="27">
        <v>1</v>
      </c>
      <c r="N14" s="25">
        <f t="shared" si="1"/>
        <v>2</v>
      </c>
      <c r="O14" s="26">
        <v>3540.15</v>
      </c>
      <c r="P14" s="26">
        <v>0.44</v>
      </c>
      <c r="Q14" s="26">
        <v>0</v>
      </c>
      <c r="R14" s="26">
        <v>186.84</v>
      </c>
      <c r="S14" s="26">
        <v>1</v>
      </c>
      <c r="T14" s="28">
        <f t="shared" si="2"/>
        <v>7080.3</v>
      </c>
      <c r="U14" s="28">
        <f t="shared" si="3"/>
        <v>0.88</v>
      </c>
      <c r="V14" s="28">
        <f t="shared" si="4"/>
        <v>0</v>
      </c>
      <c r="W14" s="28">
        <f t="shared" si="5"/>
        <v>373.68</v>
      </c>
      <c r="X14" s="28">
        <f>T14*'Данные для расчета'!$B$2+U14*'Данные для расчета'!$B$4</f>
        <v>4956.8963999999996</v>
      </c>
      <c r="Y14" s="28">
        <f>T14*'Данные для расчета'!$B$3+V14*'Данные для расчета'!$B$5</f>
        <v>708.03000000000009</v>
      </c>
      <c r="Z14" s="28">
        <f t="shared" si="6"/>
        <v>13119.786400000001</v>
      </c>
      <c r="AA14" s="28">
        <f>ROUND(Z14*'Данные для расчета'!$B$7,2)</f>
        <v>2886.35</v>
      </c>
      <c r="AB14" s="28">
        <f t="shared" si="7"/>
        <v>16006.136400000001</v>
      </c>
      <c r="AC14" s="28">
        <f>O14/'Данные для расчета'!$B$12</f>
        <v>1771.8468468468468</v>
      </c>
      <c r="AD14" s="28">
        <f t="shared" si="8"/>
        <v>0.44</v>
      </c>
      <c r="AE14" s="28">
        <f>Q14/'Данные для расчета'!$B$12</f>
        <v>0</v>
      </c>
      <c r="AF14" s="28">
        <f t="shared" si="9"/>
        <v>186.84</v>
      </c>
      <c r="AG14" s="28">
        <f t="shared" si="10"/>
        <v>3543.6936936936936</v>
      </c>
      <c r="AH14" s="28">
        <f t="shared" si="11"/>
        <v>0.88</v>
      </c>
      <c r="AI14" s="28">
        <f t="shared" si="12"/>
        <v>0</v>
      </c>
      <c r="AJ14" s="28">
        <f t="shared" si="13"/>
        <v>373.68</v>
      </c>
      <c r="AK14" s="28">
        <f>AG14*'Данные для расчета'!$B$2+AI14*'Данные для расчета'!$B$4</f>
        <v>2480.5855855855852</v>
      </c>
      <c r="AL14" s="28">
        <f>AG14*'Данные для расчета'!$B$3+AI14*'Данные для расчета'!$B$5</f>
        <v>354.36936936936939</v>
      </c>
      <c r="AM14" s="29">
        <f t="shared" si="14"/>
        <v>6753.2086486486478</v>
      </c>
      <c r="AN14" s="28">
        <f>ROUND(AM14*'Данные для расчета'!$B$7,2)</f>
        <v>1485.71</v>
      </c>
      <c r="AO14" s="30">
        <f t="shared" si="15"/>
        <v>8238.9186486486469</v>
      </c>
      <c r="AP14" s="25">
        <v>5.8</v>
      </c>
      <c r="AQ14" s="25">
        <f t="shared" si="16"/>
        <v>11.6</v>
      </c>
    </row>
    <row r="15" spans="1:43" s="33" customFormat="1" ht="15" customHeight="1" x14ac:dyDescent="0.25">
      <c r="A15" s="25">
        <v>21</v>
      </c>
      <c r="B15" s="25" t="s">
        <v>132</v>
      </c>
      <c r="C15" s="25" t="s">
        <v>133</v>
      </c>
      <c r="D15" s="25" t="s">
        <v>72</v>
      </c>
      <c r="E15" s="25" t="s">
        <v>134</v>
      </c>
      <c r="F15" s="25" t="s">
        <v>135</v>
      </c>
      <c r="G15" s="25" t="s">
        <v>136</v>
      </c>
      <c r="H15" s="26" t="s">
        <v>68</v>
      </c>
      <c r="I15" s="41" t="s">
        <v>140</v>
      </c>
      <c r="J15" s="27">
        <v>10</v>
      </c>
      <c r="K15" s="27">
        <v>10</v>
      </c>
      <c r="L15" s="27">
        <f t="shared" si="0"/>
        <v>100</v>
      </c>
      <c r="M15" s="27">
        <v>1</v>
      </c>
      <c r="N15" s="25">
        <f t="shared" si="1"/>
        <v>100</v>
      </c>
      <c r="O15" s="26">
        <v>62.7</v>
      </c>
      <c r="P15" s="26">
        <v>0</v>
      </c>
      <c r="Q15" s="26">
        <v>0</v>
      </c>
      <c r="R15" s="26">
        <v>3.38</v>
      </c>
      <c r="S15" s="32">
        <v>1</v>
      </c>
      <c r="T15" s="28">
        <f t="shared" si="2"/>
        <v>6270</v>
      </c>
      <c r="U15" s="28">
        <f t="shared" si="3"/>
        <v>0</v>
      </c>
      <c r="V15" s="28">
        <f t="shared" si="4"/>
        <v>0</v>
      </c>
      <c r="W15" s="28">
        <f t="shared" si="5"/>
        <v>338</v>
      </c>
      <c r="X15" s="28">
        <f>T15*'Данные для расчета'!$B$2+U15*'Данные для расчета'!$B$4</f>
        <v>4389</v>
      </c>
      <c r="Y15" s="28">
        <f>T15*'Данные для расчета'!$B$3+V15*'Данные для расчета'!$B$5</f>
        <v>627</v>
      </c>
      <c r="Z15" s="28">
        <f t="shared" si="6"/>
        <v>11624</v>
      </c>
      <c r="AA15" s="28">
        <f>ROUND(Z15*'Данные для расчета'!$B$7,2)</f>
        <v>2557.2800000000002</v>
      </c>
      <c r="AB15" s="28">
        <f t="shared" si="7"/>
        <v>14181.28</v>
      </c>
      <c r="AC15" s="28">
        <f>O15/'Данные для расчета'!$B$12</f>
        <v>31.381381381381384</v>
      </c>
      <c r="AD15" s="28">
        <f t="shared" si="8"/>
        <v>0</v>
      </c>
      <c r="AE15" s="28">
        <f>Q15/'Данные для расчета'!$B$12</f>
        <v>0</v>
      </c>
      <c r="AF15" s="28">
        <f t="shared" si="9"/>
        <v>3.38</v>
      </c>
      <c r="AG15" s="28">
        <f t="shared" si="10"/>
        <v>3138.1381381381384</v>
      </c>
      <c r="AH15" s="28">
        <f t="shared" si="11"/>
        <v>0</v>
      </c>
      <c r="AI15" s="28">
        <f t="shared" si="12"/>
        <v>0</v>
      </c>
      <c r="AJ15" s="28">
        <f t="shared" si="13"/>
        <v>338</v>
      </c>
      <c r="AK15" s="28">
        <f>AG15*'Данные для расчета'!$B$2+AI15*'Данные для расчета'!$B$4</f>
        <v>2196.6966966966966</v>
      </c>
      <c r="AL15" s="28">
        <f>AG15*'Данные для расчета'!$B$3+AI15*'Данные для расчета'!$B$5</f>
        <v>313.81381381381385</v>
      </c>
      <c r="AM15" s="28">
        <f t="shared" si="14"/>
        <v>5986.6486486486492</v>
      </c>
      <c r="AN15" s="28">
        <f>ROUND(AM15*'Данные для расчета'!$B$7,2)</f>
        <v>1317.06</v>
      </c>
      <c r="AO15" s="28">
        <f t="shared" si="15"/>
        <v>7303.7086486486496</v>
      </c>
      <c r="AP15" s="25">
        <v>0.09</v>
      </c>
      <c r="AQ15" s="25">
        <f t="shared" si="16"/>
        <v>9</v>
      </c>
    </row>
    <row r="16" spans="1:43" s="33" customFormat="1" ht="15" customHeight="1" x14ac:dyDescent="0.25">
      <c r="A16" s="25">
        <v>21</v>
      </c>
      <c r="B16" s="27" t="s">
        <v>132</v>
      </c>
      <c r="C16" s="27" t="s">
        <v>133</v>
      </c>
      <c r="D16" s="25" t="s">
        <v>72</v>
      </c>
      <c r="E16" s="25" t="s">
        <v>137</v>
      </c>
      <c r="F16" s="25" t="s">
        <v>138</v>
      </c>
      <c r="G16" s="25" t="s">
        <v>139</v>
      </c>
      <c r="H16" s="26" t="s">
        <v>76</v>
      </c>
      <c r="I16" s="26" t="s">
        <v>140</v>
      </c>
      <c r="J16" s="27">
        <v>2</v>
      </c>
      <c r="K16" s="27">
        <v>10</v>
      </c>
      <c r="L16" s="27">
        <f t="shared" si="0"/>
        <v>20</v>
      </c>
      <c r="M16" s="27">
        <v>1</v>
      </c>
      <c r="N16" s="25">
        <f t="shared" si="1"/>
        <v>20</v>
      </c>
      <c r="O16" s="26">
        <v>877.77</v>
      </c>
      <c r="P16" s="26">
        <v>0</v>
      </c>
      <c r="Q16" s="26">
        <v>0</v>
      </c>
      <c r="R16" s="26">
        <v>3.38</v>
      </c>
      <c r="S16" s="26">
        <v>1</v>
      </c>
      <c r="T16" s="28">
        <f t="shared" si="2"/>
        <v>17555.400000000001</v>
      </c>
      <c r="U16" s="28">
        <f t="shared" si="3"/>
        <v>0</v>
      </c>
      <c r="V16" s="28">
        <f t="shared" si="4"/>
        <v>0</v>
      </c>
      <c r="W16" s="28">
        <f t="shared" si="5"/>
        <v>67.599999999999994</v>
      </c>
      <c r="X16" s="28">
        <f>T16*'Данные для расчета'!$B$2+U16*'Данные для расчета'!$B$4</f>
        <v>12288.78</v>
      </c>
      <c r="Y16" s="28">
        <f>T16*'Данные для расчета'!$B$3+V16*'Данные для расчета'!$B$5</f>
        <v>1755.5400000000002</v>
      </c>
      <c r="Z16" s="28">
        <f t="shared" si="6"/>
        <v>31667.32</v>
      </c>
      <c r="AA16" s="28">
        <f>ROUND(Z16*'Данные для расчета'!$B$7,2)</f>
        <v>6966.81</v>
      </c>
      <c r="AB16" s="28">
        <f t="shared" si="7"/>
        <v>38634.129999999997</v>
      </c>
      <c r="AC16" s="28">
        <f>O16/'Данные для расчета'!$B$12</f>
        <v>439.32432432432432</v>
      </c>
      <c r="AD16" s="28">
        <f t="shared" si="8"/>
        <v>0</v>
      </c>
      <c r="AE16" s="28">
        <f>Q16/'Данные для расчета'!$B$12</f>
        <v>0</v>
      </c>
      <c r="AF16" s="28">
        <f t="shared" si="9"/>
        <v>3.38</v>
      </c>
      <c r="AG16" s="28">
        <f t="shared" si="10"/>
        <v>8786.4864864864867</v>
      </c>
      <c r="AH16" s="28">
        <f t="shared" si="11"/>
        <v>0</v>
      </c>
      <c r="AI16" s="28">
        <f t="shared" si="12"/>
        <v>0</v>
      </c>
      <c r="AJ16" s="28">
        <f t="shared" si="13"/>
        <v>67.599999999999994</v>
      </c>
      <c r="AK16" s="28">
        <f>AG16*'Данные для расчета'!$B$2+AI16*'Данные для расчета'!$B$4</f>
        <v>6150.54054054054</v>
      </c>
      <c r="AL16" s="28">
        <f>AG16*'Данные для расчета'!$B$3+AI16*'Данные для расчета'!$B$5</f>
        <v>878.64864864864876</v>
      </c>
      <c r="AM16" s="28">
        <f t="shared" si="14"/>
        <v>15883.275675675675</v>
      </c>
      <c r="AN16" s="28">
        <f>ROUND(AM16*'Данные для расчета'!$B$7,2)</f>
        <v>3494.32</v>
      </c>
      <c r="AO16" s="28">
        <f t="shared" si="15"/>
        <v>19377.595675675675</v>
      </c>
      <c r="AP16" s="25">
        <v>1.26</v>
      </c>
      <c r="AQ16" s="25">
        <f t="shared" si="16"/>
        <v>25.2</v>
      </c>
    </row>
    <row r="17" spans="1:43" s="34" customFormat="1" ht="15" customHeight="1" x14ac:dyDescent="0.25">
      <c r="A17" s="25">
        <v>24</v>
      </c>
      <c r="B17" s="25" t="s">
        <v>132</v>
      </c>
      <c r="C17" s="25" t="s">
        <v>141</v>
      </c>
      <c r="D17" s="25" t="s">
        <v>72</v>
      </c>
      <c r="E17" s="25" t="s">
        <v>134</v>
      </c>
      <c r="F17" s="25" t="s">
        <v>135</v>
      </c>
      <c r="G17" s="25" t="s">
        <v>136</v>
      </c>
      <c r="H17" s="26" t="s">
        <v>68</v>
      </c>
      <c r="I17" s="41" t="s">
        <v>140</v>
      </c>
      <c r="J17" s="27">
        <v>10</v>
      </c>
      <c r="K17" s="27">
        <v>4</v>
      </c>
      <c r="L17" s="27">
        <f t="shared" si="0"/>
        <v>40</v>
      </c>
      <c r="M17" s="27">
        <v>1</v>
      </c>
      <c r="N17" s="25">
        <f t="shared" si="1"/>
        <v>40</v>
      </c>
      <c r="O17" s="26">
        <v>62.7</v>
      </c>
      <c r="P17" s="26">
        <v>0</v>
      </c>
      <c r="Q17" s="26">
        <v>0</v>
      </c>
      <c r="R17" s="26">
        <v>3.38</v>
      </c>
      <c r="S17" s="26">
        <v>1</v>
      </c>
      <c r="T17" s="28">
        <f t="shared" si="2"/>
        <v>2508</v>
      </c>
      <c r="U17" s="28">
        <f t="shared" si="3"/>
        <v>0</v>
      </c>
      <c r="V17" s="28">
        <f t="shared" si="4"/>
        <v>0</v>
      </c>
      <c r="W17" s="28">
        <f t="shared" si="5"/>
        <v>135.19999999999999</v>
      </c>
      <c r="X17" s="28">
        <f>T17*'Данные для расчета'!$B$2+U17*'Данные для расчета'!$B$4</f>
        <v>1755.6</v>
      </c>
      <c r="Y17" s="28">
        <f>T17*'Данные для расчета'!$B$3+V17*'Данные для расчета'!$B$5</f>
        <v>250.8</v>
      </c>
      <c r="Z17" s="28">
        <f t="shared" si="6"/>
        <v>4649.5999999999995</v>
      </c>
      <c r="AA17" s="28">
        <f>ROUND(Z17*'Данные для расчета'!$B$7,2)</f>
        <v>1022.91</v>
      </c>
      <c r="AB17" s="28">
        <f t="shared" si="7"/>
        <v>5672.5099999999993</v>
      </c>
      <c r="AC17" s="28">
        <f>O17/'Данные для расчета'!$B$12</f>
        <v>31.381381381381384</v>
      </c>
      <c r="AD17" s="28">
        <f t="shared" si="8"/>
        <v>0</v>
      </c>
      <c r="AE17" s="28">
        <f>Q17/'Данные для расчета'!$B$12</f>
        <v>0</v>
      </c>
      <c r="AF17" s="28">
        <f t="shared" si="9"/>
        <v>3.38</v>
      </c>
      <c r="AG17" s="28">
        <f t="shared" si="10"/>
        <v>1255.2552552552554</v>
      </c>
      <c r="AH17" s="28">
        <f t="shared" si="11"/>
        <v>0</v>
      </c>
      <c r="AI17" s="28">
        <f t="shared" si="12"/>
        <v>0</v>
      </c>
      <c r="AJ17" s="28">
        <f t="shared" si="13"/>
        <v>135.19999999999999</v>
      </c>
      <c r="AK17" s="28">
        <f>AG17*'Данные для расчета'!$B$2+AI17*'Данные для расчета'!$B$4</f>
        <v>878.67867867867869</v>
      </c>
      <c r="AL17" s="28">
        <f>AG17*'Данные для расчета'!$B$3+AI17*'Данные для расчета'!$B$5</f>
        <v>125.52552552552555</v>
      </c>
      <c r="AM17" s="28">
        <f t="shared" si="14"/>
        <v>2394.6594594594599</v>
      </c>
      <c r="AN17" s="28">
        <f>ROUND(AM17*'Данные для расчета'!$B$7,2)</f>
        <v>526.83000000000004</v>
      </c>
      <c r="AO17" s="28">
        <f t="shared" si="15"/>
        <v>2921.4894594594598</v>
      </c>
      <c r="AP17" s="25">
        <v>0.09</v>
      </c>
      <c r="AQ17" s="25">
        <f t="shared" si="16"/>
        <v>3.5999999999999996</v>
      </c>
    </row>
    <row r="18" spans="1:43" ht="15" customHeight="1" x14ac:dyDescent="0.25">
      <c r="A18" s="25">
        <v>24</v>
      </c>
      <c r="B18" s="25" t="s">
        <v>132</v>
      </c>
      <c r="C18" s="25" t="s">
        <v>141</v>
      </c>
      <c r="D18" s="25" t="s">
        <v>72</v>
      </c>
      <c r="E18" s="25" t="s">
        <v>142</v>
      </c>
      <c r="F18" s="25" t="s">
        <v>138</v>
      </c>
      <c r="G18" s="25" t="s">
        <v>139</v>
      </c>
      <c r="H18" s="25" t="s">
        <v>76</v>
      </c>
      <c r="I18" s="25" t="s">
        <v>140</v>
      </c>
      <c r="J18" s="25">
        <v>2</v>
      </c>
      <c r="K18" s="25">
        <v>4</v>
      </c>
      <c r="L18" s="25">
        <f t="shared" si="0"/>
        <v>8</v>
      </c>
      <c r="M18" s="25">
        <v>1</v>
      </c>
      <c r="N18" s="25">
        <f t="shared" si="1"/>
        <v>8</v>
      </c>
      <c r="O18" s="25">
        <v>877.77</v>
      </c>
      <c r="P18" s="25">
        <v>0</v>
      </c>
      <c r="Q18" s="25">
        <v>0</v>
      </c>
      <c r="R18" s="25">
        <v>3.38</v>
      </c>
      <c r="S18" s="25">
        <v>1</v>
      </c>
      <c r="T18" s="28">
        <f t="shared" si="2"/>
        <v>7022.16</v>
      </c>
      <c r="U18" s="28">
        <f t="shared" si="3"/>
        <v>0</v>
      </c>
      <c r="V18" s="28">
        <f t="shared" si="4"/>
        <v>0</v>
      </c>
      <c r="W18" s="28">
        <f t="shared" si="5"/>
        <v>27.04</v>
      </c>
      <c r="X18" s="28">
        <f>T18*'Данные для расчета'!$B$2+U18*'Данные для расчета'!$B$4</f>
        <v>4915.5119999999997</v>
      </c>
      <c r="Y18" s="28">
        <f>T18*'Данные для расчета'!$B$3+V18*'Данные для расчета'!$B$5</f>
        <v>702.21600000000001</v>
      </c>
      <c r="Z18" s="28">
        <f t="shared" si="6"/>
        <v>12666.928</v>
      </c>
      <c r="AA18" s="28">
        <f>ROUND(Z18*'Данные для расчета'!$B$7,2)</f>
        <v>2786.72</v>
      </c>
      <c r="AB18" s="28">
        <f t="shared" si="7"/>
        <v>15453.647999999999</v>
      </c>
      <c r="AC18" s="28">
        <f>O18/'Данные для расчета'!$B$12</f>
        <v>439.32432432432432</v>
      </c>
      <c r="AD18" s="28">
        <f t="shared" si="8"/>
        <v>0</v>
      </c>
      <c r="AE18" s="28">
        <f>Q18/'Данные для расчета'!$B$12</f>
        <v>0</v>
      </c>
      <c r="AF18" s="28">
        <f t="shared" si="9"/>
        <v>3.38</v>
      </c>
      <c r="AG18" s="28">
        <f t="shared" si="10"/>
        <v>3514.5945945945946</v>
      </c>
      <c r="AH18" s="28">
        <f t="shared" si="11"/>
        <v>0</v>
      </c>
      <c r="AI18" s="28">
        <f t="shared" si="12"/>
        <v>0</v>
      </c>
      <c r="AJ18" s="28">
        <f t="shared" si="13"/>
        <v>27.04</v>
      </c>
      <c r="AK18" s="28">
        <f>AG18*'Данные для расчета'!$B$2+AI18*'Данные для расчета'!$B$4</f>
        <v>2460.2162162162163</v>
      </c>
      <c r="AL18" s="28">
        <f>AG18*'Данные для расчета'!$B$3+AI18*'Данные для расчета'!$B$5</f>
        <v>351.45945945945948</v>
      </c>
      <c r="AM18" s="28">
        <f t="shared" si="14"/>
        <v>6353.3102702702699</v>
      </c>
      <c r="AN18" s="28">
        <f>ROUND(AM18*'Данные для расчета'!$B$7,2)</f>
        <v>1397.73</v>
      </c>
      <c r="AO18" s="28">
        <f t="shared" si="15"/>
        <v>7751.0402702702704</v>
      </c>
      <c r="AP18" s="25">
        <v>1.26</v>
      </c>
      <c r="AQ18" s="25">
        <f t="shared" si="16"/>
        <v>10.08</v>
      </c>
    </row>
    <row r="19" spans="1:43" ht="15" customHeight="1" x14ac:dyDescent="0.25">
      <c r="A19" s="25">
        <v>25</v>
      </c>
      <c r="B19" s="25" t="s">
        <v>143</v>
      </c>
      <c r="C19" s="25" t="s">
        <v>144</v>
      </c>
      <c r="D19" s="25" t="s">
        <v>72</v>
      </c>
      <c r="E19" s="25" t="s">
        <v>73</v>
      </c>
      <c r="F19" s="25" t="s">
        <v>74</v>
      </c>
      <c r="G19" s="25" t="s">
        <v>75</v>
      </c>
      <c r="H19" s="25" t="s">
        <v>76</v>
      </c>
      <c r="I19" s="25" t="s">
        <v>77</v>
      </c>
      <c r="J19" s="25">
        <v>2</v>
      </c>
      <c r="K19" s="25">
        <v>1</v>
      </c>
      <c r="L19" s="25">
        <f t="shared" si="0"/>
        <v>2</v>
      </c>
      <c r="M19" s="25">
        <v>1</v>
      </c>
      <c r="N19" s="25">
        <f t="shared" si="1"/>
        <v>2</v>
      </c>
      <c r="O19" s="25">
        <v>2116.73</v>
      </c>
      <c r="P19" s="25">
        <v>1.18</v>
      </c>
      <c r="Q19" s="25">
        <v>0.01</v>
      </c>
      <c r="R19" s="25">
        <v>0</v>
      </c>
      <c r="S19" s="25">
        <v>1</v>
      </c>
      <c r="T19" s="28">
        <f t="shared" si="2"/>
        <v>4233.46</v>
      </c>
      <c r="U19" s="28">
        <f t="shared" si="3"/>
        <v>2.36</v>
      </c>
      <c r="V19" s="28">
        <f t="shared" si="4"/>
        <v>0.02</v>
      </c>
      <c r="W19" s="28">
        <f t="shared" si="5"/>
        <v>0</v>
      </c>
      <c r="X19" s="28">
        <f>T19*'Данные для расчета'!$B$2+U19*'Данные для расчета'!$B$4</f>
        <v>2965.2628</v>
      </c>
      <c r="Y19" s="28">
        <f>T19*'Данные для расчета'!$B$3+V19*'Данные для расчета'!$B$5</f>
        <v>423.35199999999998</v>
      </c>
      <c r="Z19" s="28">
        <f t="shared" si="6"/>
        <v>7624.4348</v>
      </c>
      <c r="AA19" s="28">
        <f>ROUND(Z19*'Данные для расчета'!$B$7,2)</f>
        <v>1677.38</v>
      </c>
      <c r="AB19" s="28">
        <f t="shared" si="7"/>
        <v>9301.8148000000001</v>
      </c>
      <c r="AC19" s="28">
        <f>O19/'Данные для расчета'!$B$12</f>
        <v>1059.4244244244244</v>
      </c>
      <c r="AD19" s="28">
        <f t="shared" si="8"/>
        <v>1.1750050050050049</v>
      </c>
      <c r="AE19" s="28">
        <f>Q19/'Данные для расчета'!$B$12</f>
        <v>5.005005005005005E-3</v>
      </c>
      <c r="AF19" s="28">
        <f t="shared" si="9"/>
        <v>0</v>
      </c>
      <c r="AG19" s="28">
        <f t="shared" si="10"/>
        <v>2118.8488488488488</v>
      </c>
      <c r="AH19" s="28">
        <f t="shared" si="11"/>
        <v>2.3500100100100099</v>
      </c>
      <c r="AI19" s="28">
        <f t="shared" si="12"/>
        <v>1.001001001001001E-2</v>
      </c>
      <c r="AJ19" s="28">
        <f t="shared" si="13"/>
        <v>0</v>
      </c>
      <c r="AK19" s="28">
        <f>AG19*'Данные для расчета'!$B$2+AI19*'Данные для расчета'!$B$4</f>
        <v>1483.2020020020018</v>
      </c>
      <c r="AL19" s="28">
        <f>AG19*'Данные для расчета'!$B$3+AI19*'Данные для расчета'!$B$5</f>
        <v>211.8878878878879</v>
      </c>
      <c r="AM19" s="28">
        <f t="shared" si="14"/>
        <v>3816.2887487487483</v>
      </c>
      <c r="AN19" s="28">
        <f>ROUND(AM19*'Данные для расчета'!$B$7,2)</f>
        <v>839.58</v>
      </c>
      <c r="AO19" s="28">
        <f t="shared" si="15"/>
        <v>4655.8687487487487</v>
      </c>
      <c r="AP19" s="25">
        <v>2.62</v>
      </c>
      <c r="AQ19" s="25">
        <f t="shared" si="16"/>
        <v>5.24</v>
      </c>
    </row>
    <row r="20" spans="1:43" ht="15" customHeight="1" x14ac:dyDescent="0.25">
      <c r="A20" s="25">
        <v>26</v>
      </c>
      <c r="B20" s="25" t="s">
        <v>145</v>
      </c>
      <c r="C20" s="25" t="s">
        <v>146</v>
      </c>
      <c r="D20" s="25" t="s">
        <v>72</v>
      </c>
      <c r="E20" s="25" t="s">
        <v>147</v>
      </c>
      <c r="F20" s="25" t="s">
        <v>103</v>
      </c>
      <c r="G20" s="25" t="s">
        <v>148</v>
      </c>
      <c r="H20" s="25" t="s">
        <v>103</v>
      </c>
      <c r="I20" s="25" t="s">
        <v>149</v>
      </c>
      <c r="J20" s="25">
        <v>0</v>
      </c>
      <c r="K20" s="25">
        <v>1</v>
      </c>
      <c r="L20" s="25">
        <f t="shared" si="0"/>
        <v>0</v>
      </c>
      <c r="M20" s="25">
        <v>1</v>
      </c>
      <c r="N20" s="25">
        <f t="shared" si="1"/>
        <v>0</v>
      </c>
      <c r="O20" s="25">
        <v>0</v>
      </c>
      <c r="P20" s="25">
        <v>0</v>
      </c>
      <c r="Q20" s="25">
        <v>0</v>
      </c>
      <c r="R20" s="25">
        <v>0</v>
      </c>
      <c r="S20" s="25">
        <v>1</v>
      </c>
      <c r="T20" s="28">
        <f t="shared" si="2"/>
        <v>0</v>
      </c>
      <c r="U20" s="28">
        <f t="shared" si="3"/>
        <v>0</v>
      </c>
      <c r="V20" s="28">
        <f t="shared" si="4"/>
        <v>0</v>
      </c>
      <c r="W20" s="28">
        <f t="shared" si="5"/>
        <v>0</v>
      </c>
      <c r="X20" s="28">
        <f>T20*'Данные для расчета'!$B$2+U20*'Данные для расчета'!$B$4</f>
        <v>0</v>
      </c>
      <c r="Y20" s="28">
        <f>T20*'Данные для расчета'!$B$3+V20*'Данные для расчета'!$B$5</f>
        <v>0</v>
      </c>
      <c r="Z20" s="28">
        <f t="shared" si="6"/>
        <v>0</v>
      </c>
      <c r="AA20" s="28">
        <f>ROUND(Z20*'Данные для расчета'!$B$7,2)</f>
        <v>0</v>
      </c>
      <c r="AB20" s="28">
        <f t="shared" si="7"/>
        <v>0</v>
      </c>
      <c r="AC20" s="28">
        <f>O20/'Данные для расчета'!$B$12</f>
        <v>0</v>
      </c>
      <c r="AD20" s="28">
        <f t="shared" si="8"/>
        <v>0</v>
      </c>
      <c r="AE20" s="28">
        <f>Q20/'Данные для расчета'!$B$12</f>
        <v>0</v>
      </c>
      <c r="AF20" s="28">
        <f t="shared" si="9"/>
        <v>0</v>
      </c>
      <c r="AG20" s="28">
        <f t="shared" si="10"/>
        <v>0</v>
      </c>
      <c r="AH20" s="28">
        <f t="shared" si="11"/>
        <v>0</v>
      </c>
      <c r="AI20" s="28">
        <f t="shared" si="12"/>
        <v>0</v>
      </c>
      <c r="AJ20" s="28">
        <f t="shared" si="13"/>
        <v>0</v>
      </c>
      <c r="AK20" s="28">
        <f>AG20*'Данные для расчета'!$B$2+AI20*'Данные для расчета'!$B$4</f>
        <v>0</v>
      </c>
      <c r="AL20" s="28">
        <f>AG20*'Данные для расчета'!$B$3+AI20*'Данные для расчета'!$B$5</f>
        <v>0</v>
      </c>
      <c r="AM20" s="28">
        <f t="shared" si="14"/>
        <v>0</v>
      </c>
      <c r="AN20" s="28">
        <f>ROUND(AM20*'Данные для расчета'!$B$7,2)</f>
        <v>0</v>
      </c>
      <c r="AO20" s="28">
        <f t="shared" si="15"/>
        <v>0</v>
      </c>
      <c r="AP20" s="25">
        <v>0</v>
      </c>
      <c r="AQ20" s="25">
        <f t="shared" si="16"/>
        <v>0</v>
      </c>
    </row>
    <row r="21" spans="1:43" ht="15" customHeight="1" x14ac:dyDescent="0.25">
      <c r="A21" s="25">
        <v>27</v>
      </c>
      <c r="B21" s="25" t="s">
        <v>143</v>
      </c>
      <c r="C21" s="25" t="s">
        <v>150</v>
      </c>
      <c r="D21" s="25" t="s">
        <v>72</v>
      </c>
      <c r="E21" s="25" t="s">
        <v>73</v>
      </c>
      <c r="F21" s="25" t="s">
        <v>74</v>
      </c>
      <c r="G21" s="25" t="s">
        <v>75</v>
      </c>
      <c r="H21" s="25" t="s">
        <v>76</v>
      </c>
      <c r="I21" s="26" t="s">
        <v>77</v>
      </c>
      <c r="J21" s="25">
        <v>2</v>
      </c>
      <c r="K21" s="25">
        <v>2</v>
      </c>
      <c r="L21" s="25">
        <f t="shared" si="0"/>
        <v>4</v>
      </c>
      <c r="M21" s="25">
        <v>1</v>
      </c>
      <c r="N21" s="25">
        <f t="shared" si="1"/>
        <v>4</v>
      </c>
      <c r="O21" s="25">
        <v>2116.73</v>
      </c>
      <c r="P21" s="25">
        <v>1.18</v>
      </c>
      <c r="Q21" s="25">
        <v>0.01</v>
      </c>
      <c r="R21" s="25">
        <v>0</v>
      </c>
      <c r="S21" s="25">
        <v>1</v>
      </c>
      <c r="T21" s="28">
        <f t="shared" si="2"/>
        <v>8466.92</v>
      </c>
      <c r="U21" s="28">
        <f t="shared" si="3"/>
        <v>4.72</v>
      </c>
      <c r="V21" s="28">
        <f t="shared" si="4"/>
        <v>0.04</v>
      </c>
      <c r="W21" s="28">
        <f t="shared" si="5"/>
        <v>0</v>
      </c>
      <c r="X21" s="28">
        <f>T21*'Данные для расчета'!$B$2+U21*'Данные для расчета'!$B$4</f>
        <v>5930.5255999999999</v>
      </c>
      <c r="Y21" s="28">
        <f>T21*'Данные для расчета'!$B$3+V21*'Данные для расчета'!$B$5</f>
        <v>846.70399999999995</v>
      </c>
      <c r="Z21" s="28">
        <f t="shared" si="6"/>
        <v>15248.8696</v>
      </c>
      <c r="AA21" s="28">
        <f>ROUND(Z21*'Данные для расчета'!$B$7,2)</f>
        <v>3354.75</v>
      </c>
      <c r="AB21" s="28">
        <f t="shared" si="7"/>
        <v>18603.619599999998</v>
      </c>
      <c r="AC21" s="28">
        <f>O21/'Данные для расчета'!$B$12</f>
        <v>1059.4244244244244</v>
      </c>
      <c r="AD21" s="28">
        <f t="shared" si="8"/>
        <v>1.1750050050050049</v>
      </c>
      <c r="AE21" s="28">
        <f>Q21/'Данные для расчета'!$B$12</f>
        <v>5.005005005005005E-3</v>
      </c>
      <c r="AF21" s="28">
        <f t="shared" si="9"/>
        <v>0</v>
      </c>
      <c r="AG21" s="28">
        <f t="shared" si="10"/>
        <v>4237.6976976976975</v>
      </c>
      <c r="AH21" s="28">
        <f t="shared" si="11"/>
        <v>4.7000200200200197</v>
      </c>
      <c r="AI21" s="28">
        <f t="shared" si="12"/>
        <v>2.002002002002002E-2</v>
      </c>
      <c r="AJ21" s="28">
        <f t="shared" si="13"/>
        <v>0</v>
      </c>
      <c r="AK21" s="28">
        <f>AG21*'Данные для расчета'!$B$2+AI21*'Данные для расчета'!$B$4</f>
        <v>2966.4040040040036</v>
      </c>
      <c r="AL21" s="28">
        <f>AG21*'Данные для расчета'!$B$3+AI21*'Данные для расчета'!$B$5</f>
        <v>423.7757757757758</v>
      </c>
      <c r="AM21" s="28">
        <f t="shared" si="14"/>
        <v>7632.5774974974966</v>
      </c>
      <c r="AN21" s="28">
        <f>ROUND(AM21*'Данные для расчета'!$B$7,2)</f>
        <v>1679.17</v>
      </c>
      <c r="AO21" s="28">
        <f t="shared" si="15"/>
        <v>9311.7474974974975</v>
      </c>
      <c r="AP21" s="25">
        <v>2.62</v>
      </c>
      <c r="AQ21" s="25">
        <f t="shared" si="16"/>
        <v>10.48</v>
      </c>
    </row>
    <row r="22" spans="1:43" ht="15" customHeight="1" x14ac:dyDescent="0.25">
      <c r="A22" s="21"/>
      <c r="B22" s="22" t="s">
        <v>151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spans="1:43" ht="15" customHeight="1" x14ac:dyDescent="0.25">
      <c r="A23" s="25">
        <v>28</v>
      </c>
      <c r="B23" s="25" t="s">
        <v>152</v>
      </c>
      <c r="C23" s="25" t="s">
        <v>153</v>
      </c>
      <c r="D23" s="25" t="s">
        <v>154</v>
      </c>
      <c r="E23" s="25" t="s">
        <v>155</v>
      </c>
      <c r="F23" t="s">
        <v>238</v>
      </c>
      <c r="G23" s="25" t="s">
        <v>156</v>
      </c>
      <c r="H23" s="25" t="s">
        <v>68</v>
      </c>
      <c r="I23" s="25" t="s">
        <v>140</v>
      </c>
      <c r="J23" s="25">
        <v>12</v>
      </c>
      <c r="K23" s="25">
        <v>4</v>
      </c>
      <c r="L23" s="25">
        <f t="shared" ref="L23:L27" si="17">K23*J23</f>
        <v>48</v>
      </c>
      <c r="M23" s="25">
        <v>1</v>
      </c>
      <c r="N23" s="25">
        <f t="shared" ref="N23:N27" si="18">IFERROR(L23/M23,0)</f>
        <v>48</v>
      </c>
      <c r="O23">
        <v>350.16</v>
      </c>
      <c r="P23">
        <v>27.57</v>
      </c>
      <c r="Q23">
        <v>16.61</v>
      </c>
      <c r="R23">
        <v>1.93</v>
      </c>
      <c r="S23" s="25">
        <v>0.75</v>
      </c>
      <c r="T23" s="28">
        <f t="shared" ref="T23:T27" si="19">O23*N23*S23</f>
        <v>12605.76</v>
      </c>
      <c r="U23" s="28">
        <f t="shared" ref="U23:U27" si="20">P23*N23*S23</f>
        <v>992.5200000000001</v>
      </c>
      <c r="V23" s="28">
        <f t="shared" ref="V23:V27" si="21">Q23*N23*S23</f>
        <v>597.96</v>
      </c>
      <c r="W23" s="28">
        <f t="shared" ref="W23:W27" si="22">R23*N23</f>
        <v>92.64</v>
      </c>
      <c r="X23" s="28">
        <f>T23*'Данные для расчета'!$B$2+U23*'Данные для расчета'!$B$4</f>
        <v>9598.1975999999995</v>
      </c>
      <c r="Y23" s="28">
        <f>T23*'Данные для расчета'!$B$3+V23*'Данные для расчета'!$B$5</f>
        <v>1439.9639999999999</v>
      </c>
      <c r="Z23" s="28">
        <f t="shared" ref="Z23:Z27" si="23">T23+U23+W23+X23+Y23</f>
        <v>24729.081599999998</v>
      </c>
      <c r="AA23" s="28">
        <f>ROUND(Z23*'Данные для расчета'!$B$7,2)</f>
        <v>5440.4</v>
      </c>
      <c r="AB23" s="28">
        <f t="shared" ref="AB23:AB27" si="24">Z23+AA23</f>
        <v>30169.481599999999</v>
      </c>
      <c r="AC23" s="28">
        <f>O23/'Данные для расчета'!$B$12</f>
        <v>175.25525525525526</v>
      </c>
      <c r="AD23" s="28">
        <f t="shared" ref="AD23:AD27" si="25">P23-Q23+AE23</f>
        <v>19.273313313313317</v>
      </c>
      <c r="AE23" s="28">
        <f>Q23/'Данные для расчета'!$B$12</f>
        <v>8.3133133133133139</v>
      </c>
      <c r="AF23" s="28">
        <f t="shared" ref="AF23:AF27" si="26">R23</f>
        <v>1.93</v>
      </c>
      <c r="AG23" s="28">
        <f t="shared" ref="AG23:AI27" si="27">AC23*$N23*$S23</f>
        <v>6309.1891891891892</v>
      </c>
      <c r="AH23" s="28">
        <f t="shared" si="27"/>
        <v>693.83927927927937</v>
      </c>
      <c r="AI23" s="28">
        <f t="shared" si="27"/>
        <v>299.27927927927931</v>
      </c>
      <c r="AJ23" s="28">
        <f t="shared" ref="AJ23:AJ27" si="28">AF23*$N23</f>
        <v>92.64</v>
      </c>
      <c r="AK23" s="28">
        <f>AG23*'Данные для расчета'!$B$2+AI23*'Данные для расчета'!$B$4</f>
        <v>4649.8702702702703</v>
      </c>
      <c r="AL23" s="28">
        <f>AG23*'Данные для расчета'!$B$3+AI23*'Данные для расчета'!$B$5</f>
        <v>720.70270270270271</v>
      </c>
      <c r="AM23" s="28">
        <f t="shared" ref="AM23:AM27" si="29">AG23+AH23+AJ23+AK23+AL23</f>
        <v>12466.241441441442</v>
      </c>
      <c r="AN23" s="28">
        <f>ROUND(AM23*'Данные для расчета'!$B$7,2)</f>
        <v>2742.57</v>
      </c>
      <c r="AO23" s="28">
        <f t="shared" ref="AO23:AO27" si="30">AM23+AN23</f>
        <v>15208.811441441441</v>
      </c>
      <c r="AP23">
        <v>0.47</v>
      </c>
      <c r="AQ23" s="25">
        <f t="shared" ref="AQ23:AQ27" si="31">N23*AP23</f>
        <v>22.56</v>
      </c>
    </row>
    <row r="24" spans="1:43" ht="15" customHeight="1" x14ac:dyDescent="0.25">
      <c r="A24" s="25">
        <v>29</v>
      </c>
      <c r="B24" s="25" t="s">
        <v>157</v>
      </c>
      <c r="C24" s="25" t="s">
        <v>158</v>
      </c>
      <c r="D24" s="25" t="s">
        <v>154</v>
      </c>
      <c r="E24" s="25" t="s">
        <v>159</v>
      </c>
      <c r="F24" t="s">
        <v>238</v>
      </c>
      <c r="G24" s="25" t="s">
        <v>160</v>
      </c>
      <c r="H24" s="25" t="s">
        <v>68</v>
      </c>
      <c r="I24" s="25" t="s">
        <v>140</v>
      </c>
      <c r="J24" s="25">
        <v>0</v>
      </c>
      <c r="K24" s="25">
        <v>4</v>
      </c>
      <c r="L24" s="25">
        <f t="shared" si="17"/>
        <v>0</v>
      </c>
      <c r="M24" s="25">
        <v>1</v>
      </c>
      <c r="N24" s="25">
        <f t="shared" si="18"/>
        <v>0</v>
      </c>
      <c r="O24" s="25">
        <v>162.07</v>
      </c>
      <c r="P24" s="25">
        <v>0.11</v>
      </c>
      <c r="Q24" s="25">
        <v>0</v>
      </c>
      <c r="R24" s="25">
        <v>70.38</v>
      </c>
      <c r="S24" s="25">
        <v>0.75</v>
      </c>
      <c r="T24" s="28">
        <f t="shared" si="19"/>
        <v>0</v>
      </c>
      <c r="U24" s="28">
        <f t="shared" si="20"/>
        <v>0</v>
      </c>
      <c r="V24" s="28">
        <f t="shared" si="21"/>
        <v>0</v>
      </c>
      <c r="W24" s="28">
        <f t="shared" si="22"/>
        <v>0</v>
      </c>
      <c r="X24" s="28">
        <f>T24*'Данные для расчета'!$B$2+U24*'Данные для расчета'!$B$4</f>
        <v>0</v>
      </c>
      <c r="Y24" s="28">
        <f>T24*'Данные для расчета'!$B$3+V24*'Данные для расчета'!$B$5</f>
        <v>0</v>
      </c>
      <c r="Z24" s="28">
        <f t="shared" si="23"/>
        <v>0</v>
      </c>
      <c r="AA24" s="28">
        <f>ROUND(Z24*'Данные для расчета'!$B$7,2)</f>
        <v>0</v>
      </c>
      <c r="AB24" s="28">
        <f t="shared" si="24"/>
        <v>0</v>
      </c>
      <c r="AC24" s="28">
        <f>O24/'Данные для расчета'!$B$12</f>
        <v>81.116116116116117</v>
      </c>
      <c r="AD24" s="28">
        <f t="shared" si="25"/>
        <v>0.11</v>
      </c>
      <c r="AE24" s="28">
        <f>Q24/'Данные для расчета'!$B$12</f>
        <v>0</v>
      </c>
      <c r="AF24" s="28">
        <f t="shared" si="26"/>
        <v>70.38</v>
      </c>
      <c r="AG24" s="28">
        <f t="shared" si="27"/>
        <v>0</v>
      </c>
      <c r="AH24" s="28">
        <f t="shared" si="27"/>
        <v>0</v>
      </c>
      <c r="AI24" s="28">
        <f t="shared" si="27"/>
        <v>0</v>
      </c>
      <c r="AJ24" s="28">
        <f t="shared" si="28"/>
        <v>0</v>
      </c>
      <c r="AK24" s="28">
        <f>AG24*'Данные для расчета'!$B$2+AI24*'Данные для расчета'!$B$4</f>
        <v>0</v>
      </c>
      <c r="AL24" s="28">
        <f>AG24*'Данные для расчета'!$B$3+AI24*'Данные для расчета'!$B$5</f>
        <v>0</v>
      </c>
      <c r="AM24" s="28">
        <f t="shared" si="29"/>
        <v>0</v>
      </c>
      <c r="AN24" s="28">
        <f>ROUND(AM24*'Данные для расчета'!$B$7,2)</f>
        <v>0</v>
      </c>
      <c r="AO24" s="28">
        <f t="shared" si="30"/>
        <v>0</v>
      </c>
      <c r="AP24" s="25">
        <v>0.25</v>
      </c>
      <c r="AQ24" s="25">
        <f t="shared" si="31"/>
        <v>0</v>
      </c>
    </row>
    <row r="25" spans="1:43" ht="15" customHeight="1" x14ac:dyDescent="0.25">
      <c r="A25" s="25">
        <v>31</v>
      </c>
      <c r="B25" s="25" t="s">
        <v>163</v>
      </c>
      <c r="C25" s="25" t="s">
        <v>164</v>
      </c>
      <c r="D25" s="25" t="s">
        <v>97</v>
      </c>
      <c r="E25" s="25" t="s">
        <v>98</v>
      </c>
      <c r="F25" s="25" t="s">
        <v>99</v>
      </c>
      <c r="G25" s="25" t="s">
        <v>100</v>
      </c>
      <c r="H25" s="25" t="s">
        <v>76</v>
      </c>
      <c r="I25" s="25" t="s">
        <v>165</v>
      </c>
      <c r="J25" s="25">
        <v>2</v>
      </c>
      <c r="K25" s="25">
        <v>4</v>
      </c>
      <c r="L25" s="25">
        <f t="shared" si="17"/>
        <v>8</v>
      </c>
      <c r="M25" s="25">
        <v>1</v>
      </c>
      <c r="N25" s="25">
        <f t="shared" si="18"/>
        <v>8</v>
      </c>
      <c r="O25" s="25">
        <v>244.77</v>
      </c>
      <c r="P25" s="25">
        <v>0</v>
      </c>
      <c r="Q25" s="25">
        <v>0</v>
      </c>
      <c r="R25" s="25">
        <v>0</v>
      </c>
      <c r="S25" s="25">
        <v>1</v>
      </c>
      <c r="T25" s="28">
        <f t="shared" si="19"/>
        <v>1958.16</v>
      </c>
      <c r="U25" s="28">
        <f t="shared" si="20"/>
        <v>0</v>
      </c>
      <c r="V25" s="28">
        <f t="shared" si="21"/>
        <v>0</v>
      </c>
      <c r="W25" s="28">
        <f t="shared" si="22"/>
        <v>0</v>
      </c>
      <c r="X25" s="28">
        <f>T25*'Данные для расчета'!$B$2+U25*'Данные для расчета'!$B$4</f>
        <v>1370.712</v>
      </c>
      <c r="Y25" s="28">
        <f>T25*'Данные для расчета'!$B$3+V25*'Данные для расчета'!$B$5</f>
        <v>195.81600000000003</v>
      </c>
      <c r="Z25" s="28">
        <f t="shared" si="23"/>
        <v>3524.6880000000001</v>
      </c>
      <c r="AA25" s="28">
        <f>ROUND(Z25*'Данные для расчета'!$B$7,2)</f>
        <v>775.43</v>
      </c>
      <c r="AB25" s="28">
        <f t="shared" si="24"/>
        <v>4300.1180000000004</v>
      </c>
      <c r="AC25" s="28">
        <f>O25/'Данные для расчета'!$B$12</f>
        <v>122.50750750750751</v>
      </c>
      <c r="AD25" s="28">
        <f t="shared" si="25"/>
        <v>0</v>
      </c>
      <c r="AE25" s="28">
        <f>Q25/'Данные для расчета'!$B$12</f>
        <v>0</v>
      </c>
      <c r="AF25" s="28">
        <f t="shared" si="26"/>
        <v>0</v>
      </c>
      <c r="AG25" s="28">
        <f t="shared" si="27"/>
        <v>980.0600600600601</v>
      </c>
      <c r="AH25" s="28">
        <f t="shared" si="27"/>
        <v>0</v>
      </c>
      <c r="AI25" s="28">
        <f t="shared" si="27"/>
        <v>0</v>
      </c>
      <c r="AJ25" s="28">
        <f t="shared" si="28"/>
        <v>0</v>
      </c>
      <c r="AK25" s="28">
        <f>AG25*'Данные для расчета'!$B$2+AI25*'Данные для расчета'!$B$4</f>
        <v>686.042042042042</v>
      </c>
      <c r="AL25" s="28">
        <f>AG25*'Данные для расчета'!$B$3+AI25*'Данные для расчета'!$B$5</f>
        <v>98.006006006006018</v>
      </c>
      <c r="AM25" s="28">
        <f t="shared" si="29"/>
        <v>1764.1081081081079</v>
      </c>
      <c r="AN25" s="28">
        <f>ROUND(AM25*'Данные для расчета'!$B$7,2)</f>
        <v>388.1</v>
      </c>
      <c r="AO25" s="28">
        <f t="shared" si="30"/>
        <v>2152.2081081081078</v>
      </c>
      <c r="AP25" s="25">
        <v>0.46</v>
      </c>
      <c r="AQ25" s="35">
        <f t="shared" si="31"/>
        <v>3.68</v>
      </c>
    </row>
    <row r="26" spans="1:43" ht="15" customHeight="1" x14ac:dyDescent="0.25">
      <c r="A26" s="25">
        <v>32</v>
      </c>
      <c r="B26" s="25" t="s">
        <v>166</v>
      </c>
      <c r="C26" s="25" t="s">
        <v>167</v>
      </c>
      <c r="D26" s="25" t="s">
        <v>122</v>
      </c>
      <c r="E26" s="25" t="s">
        <v>134</v>
      </c>
      <c r="F26" s="25" t="s">
        <v>135</v>
      </c>
      <c r="G26" s="25" t="s">
        <v>136</v>
      </c>
      <c r="H26" s="25" t="s">
        <v>68</v>
      </c>
      <c r="I26" s="41" t="s">
        <v>140</v>
      </c>
      <c r="J26" s="25">
        <v>10</v>
      </c>
      <c r="K26" s="25">
        <v>4</v>
      </c>
      <c r="L26" s="25">
        <f t="shared" si="17"/>
        <v>40</v>
      </c>
      <c r="M26" s="25">
        <v>1</v>
      </c>
      <c r="N26" s="25">
        <f t="shared" si="18"/>
        <v>40</v>
      </c>
      <c r="O26" s="25">
        <v>62.7</v>
      </c>
      <c r="P26" s="25">
        <v>0</v>
      </c>
      <c r="Q26" s="25">
        <v>0</v>
      </c>
      <c r="R26" s="25">
        <v>3.38</v>
      </c>
      <c r="S26" s="25">
        <v>1</v>
      </c>
      <c r="T26" s="28">
        <f t="shared" si="19"/>
        <v>2508</v>
      </c>
      <c r="U26" s="28">
        <f t="shared" si="20"/>
        <v>0</v>
      </c>
      <c r="V26" s="28">
        <f t="shared" si="21"/>
        <v>0</v>
      </c>
      <c r="W26" s="28">
        <f t="shared" si="22"/>
        <v>135.19999999999999</v>
      </c>
      <c r="X26" s="28">
        <f>T26*'Данные для расчета'!$B$2+U26*'Данные для расчета'!$B$4</f>
        <v>1755.6</v>
      </c>
      <c r="Y26" s="28">
        <f>T26*'Данные для расчета'!$B$3+V26*'Данные для расчета'!$B$5</f>
        <v>250.8</v>
      </c>
      <c r="Z26" s="28">
        <f t="shared" si="23"/>
        <v>4649.5999999999995</v>
      </c>
      <c r="AA26" s="28">
        <f>ROUND(Z26*'Данные для расчета'!$B$7,2)</f>
        <v>1022.91</v>
      </c>
      <c r="AB26" s="28">
        <f t="shared" si="24"/>
        <v>5672.5099999999993</v>
      </c>
      <c r="AC26" s="28">
        <f>O26/'Данные для расчета'!$B$12</f>
        <v>31.381381381381384</v>
      </c>
      <c r="AD26" s="28">
        <f t="shared" si="25"/>
        <v>0</v>
      </c>
      <c r="AE26" s="28">
        <f>Q26/'Данные для расчета'!$B$12</f>
        <v>0</v>
      </c>
      <c r="AF26" s="28">
        <f t="shared" si="26"/>
        <v>3.38</v>
      </c>
      <c r="AG26" s="28">
        <f t="shared" si="27"/>
        <v>1255.2552552552554</v>
      </c>
      <c r="AH26" s="28">
        <f t="shared" si="27"/>
        <v>0</v>
      </c>
      <c r="AI26" s="28">
        <f t="shared" si="27"/>
        <v>0</v>
      </c>
      <c r="AJ26" s="28">
        <f t="shared" si="28"/>
        <v>135.19999999999999</v>
      </c>
      <c r="AK26" s="28">
        <f>AG26*'Данные для расчета'!$B$2+AI26*'Данные для расчета'!$B$4</f>
        <v>878.67867867867869</v>
      </c>
      <c r="AL26" s="28">
        <f>AG26*'Данные для расчета'!$B$3+AI26*'Данные для расчета'!$B$5</f>
        <v>125.52552552552555</v>
      </c>
      <c r="AM26" s="28">
        <f t="shared" si="29"/>
        <v>2394.6594594594599</v>
      </c>
      <c r="AN26" s="28">
        <f>ROUND(AM26*'Данные для расчета'!$B$7,2)</f>
        <v>526.83000000000004</v>
      </c>
      <c r="AO26" s="28">
        <f t="shared" si="30"/>
        <v>2921.4894594594598</v>
      </c>
      <c r="AP26" s="25">
        <v>0.09</v>
      </c>
      <c r="AQ26" s="25">
        <f t="shared" si="31"/>
        <v>3.5999999999999996</v>
      </c>
    </row>
    <row r="27" spans="1:43" ht="15" customHeight="1" x14ac:dyDescent="0.25">
      <c r="A27" s="25">
        <v>32</v>
      </c>
      <c r="B27" s="25" t="s">
        <v>166</v>
      </c>
      <c r="C27" s="25" t="s">
        <v>167</v>
      </c>
      <c r="D27" s="25" t="s">
        <v>122</v>
      </c>
      <c r="E27" s="25" t="s">
        <v>142</v>
      </c>
      <c r="F27" s="25" t="s">
        <v>138</v>
      </c>
      <c r="G27" s="25" t="s">
        <v>139</v>
      </c>
      <c r="H27" s="25" t="s">
        <v>76</v>
      </c>
      <c r="I27" s="25" t="s">
        <v>140</v>
      </c>
      <c r="J27" s="25">
        <v>2</v>
      </c>
      <c r="K27" s="25">
        <v>4</v>
      </c>
      <c r="L27" s="25">
        <f t="shared" si="17"/>
        <v>8</v>
      </c>
      <c r="M27" s="25">
        <v>1</v>
      </c>
      <c r="N27" s="25">
        <f t="shared" si="18"/>
        <v>8</v>
      </c>
      <c r="O27" s="25">
        <v>877.77</v>
      </c>
      <c r="P27" s="25">
        <v>0</v>
      </c>
      <c r="Q27" s="25">
        <v>0</v>
      </c>
      <c r="R27" s="25">
        <v>3.38</v>
      </c>
      <c r="S27" s="25">
        <v>1</v>
      </c>
      <c r="T27" s="28">
        <f t="shared" si="19"/>
        <v>7022.16</v>
      </c>
      <c r="U27" s="28">
        <f t="shared" si="20"/>
        <v>0</v>
      </c>
      <c r="V27" s="28">
        <f t="shared" si="21"/>
        <v>0</v>
      </c>
      <c r="W27" s="28">
        <f t="shared" si="22"/>
        <v>27.04</v>
      </c>
      <c r="X27" s="28">
        <f>T27*'Данные для расчета'!$B$2+U27*'Данные для расчета'!$B$4</f>
        <v>4915.5119999999997</v>
      </c>
      <c r="Y27" s="28">
        <f>T27*'Данные для расчета'!$B$3+V27*'Данные для расчета'!$B$5</f>
        <v>702.21600000000001</v>
      </c>
      <c r="Z27" s="28">
        <f t="shared" si="23"/>
        <v>12666.928</v>
      </c>
      <c r="AA27" s="28">
        <f>ROUND(Z27*'Данные для расчета'!$B$7,2)</f>
        <v>2786.72</v>
      </c>
      <c r="AB27" s="28">
        <f t="shared" si="24"/>
        <v>15453.647999999999</v>
      </c>
      <c r="AC27" s="28">
        <f>O27/'Данные для расчета'!$B$12</f>
        <v>439.32432432432432</v>
      </c>
      <c r="AD27" s="28">
        <f t="shared" si="25"/>
        <v>0</v>
      </c>
      <c r="AE27" s="28">
        <f>Q27/'Данные для расчета'!$B$12</f>
        <v>0</v>
      </c>
      <c r="AF27" s="28">
        <f t="shared" si="26"/>
        <v>3.38</v>
      </c>
      <c r="AG27" s="28">
        <f t="shared" si="27"/>
        <v>3514.5945945945946</v>
      </c>
      <c r="AH27" s="28">
        <f t="shared" si="27"/>
        <v>0</v>
      </c>
      <c r="AI27" s="28">
        <f t="shared" si="27"/>
        <v>0</v>
      </c>
      <c r="AJ27" s="28">
        <f t="shared" si="28"/>
        <v>27.04</v>
      </c>
      <c r="AK27" s="28">
        <f>AG27*'Данные для расчета'!$B$2+AI27*'Данные для расчета'!$B$4</f>
        <v>2460.2162162162163</v>
      </c>
      <c r="AL27" s="28">
        <f>AG27*'Данные для расчета'!$B$3+AI27*'Данные для расчета'!$B$5</f>
        <v>351.45945945945948</v>
      </c>
      <c r="AM27" s="28">
        <f t="shared" si="29"/>
        <v>6353.3102702702699</v>
      </c>
      <c r="AN27" s="28">
        <f>ROUND(AM27*'Данные для расчета'!$B$7,2)</f>
        <v>1397.73</v>
      </c>
      <c r="AO27" s="28">
        <f t="shared" si="30"/>
        <v>7751.0402702702704</v>
      </c>
      <c r="AP27" s="25">
        <v>1.26</v>
      </c>
      <c r="AQ27" s="25">
        <f t="shared" si="31"/>
        <v>10.08</v>
      </c>
    </row>
    <row r="28" spans="1:43" ht="1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</row>
    <row r="29" spans="1:43" ht="15" customHeight="1" x14ac:dyDescent="0.25">
      <c r="A29" s="21"/>
      <c r="B29" s="22" t="s">
        <v>171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37">
        <f t="shared" ref="T29:AB29" si="32">SUM(T4:T27)</f>
        <v>148884.64000000004</v>
      </c>
      <c r="U29" s="37">
        <f t="shared" si="32"/>
        <v>4099.9579999999996</v>
      </c>
      <c r="V29" s="37">
        <f t="shared" si="32"/>
        <v>2462.598</v>
      </c>
      <c r="W29" s="37">
        <f t="shared" si="32"/>
        <v>1774.9</v>
      </c>
      <c r="X29" s="37">
        <f t="shared" si="32"/>
        <v>107417.21524</v>
      </c>
      <c r="Y29" s="37">
        <f t="shared" si="32"/>
        <v>15627.243400000003</v>
      </c>
      <c r="Z29" s="37">
        <f t="shared" si="32"/>
        <v>277803.95664000005</v>
      </c>
      <c r="AA29" s="37">
        <f t="shared" si="32"/>
        <v>61116.87000000001</v>
      </c>
      <c r="AB29" s="37">
        <f t="shared" si="32"/>
        <v>338920.82663999998</v>
      </c>
      <c r="AC29" s="38"/>
      <c r="AD29" s="38"/>
      <c r="AE29" s="38"/>
      <c r="AF29" s="38"/>
      <c r="AG29" s="37">
        <f t="shared" ref="AG29:AO29" si="33">SUM(AG4:AG27)</f>
        <v>74516.836836836839</v>
      </c>
      <c r="AH29" s="37">
        <f t="shared" si="33"/>
        <v>2869.8915315315317</v>
      </c>
      <c r="AI29" s="37">
        <f t="shared" si="33"/>
        <v>1232.5315315315315</v>
      </c>
      <c r="AJ29" s="37">
        <f t="shared" si="33"/>
        <v>1774.9</v>
      </c>
      <c r="AK29" s="37">
        <f t="shared" si="33"/>
        <v>53123.160380380366</v>
      </c>
      <c r="AL29" s="37">
        <f t="shared" si="33"/>
        <v>7821.4431431431412</v>
      </c>
      <c r="AM29" s="37">
        <f t="shared" si="33"/>
        <v>140106.23189189189</v>
      </c>
      <c r="AN29" s="37">
        <f t="shared" si="33"/>
        <v>30823.390000000003</v>
      </c>
      <c r="AO29" s="37">
        <f t="shared" si="33"/>
        <v>170929.62189189193</v>
      </c>
      <c r="AP29" s="21"/>
      <c r="AQ29" s="22">
        <f>SUM(AQ4:AQ27)</f>
        <v>226.19800000000001</v>
      </c>
    </row>
    <row r="30" spans="1:43" ht="15" customHeight="1" x14ac:dyDescent="0.25"/>
    <row r="31" spans="1:43" ht="15" customHeight="1" x14ac:dyDescent="0.25"/>
  </sheetData>
  <autoFilter ref="A2:AP18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style="1" customWidth="1"/>
    <col min="2" max="2" width="52" style="1" customWidth="1"/>
    <col min="3" max="3" width="28" style="1" customWidth="1"/>
    <col min="4" max="4" width="16" style="1" customWidth="1"/>
    <col min="5" max="6" width="9" style="1" customWidth="1"/>
    <col min="7" max="7" width="46" style="1" customWidth="1"/>
  </cols>
  <sheetData>
    <row r="1" spans="1:7" ht="21.75" customHeight="1" x14ac:dyDescent="0.25">
      <c r="A1" s="39" t="s">
        <v>172</v>
      </c>
      <c r="B1" s="39" t="s">
        <v>173</v>
      </c>
      <c r="C1" s="39" t="s">
        <v>174</v>
      </c>
      <c r="D1" s="39" t="s">
        <v>175</v>
      </c>
      <c r="E1" s="39" t="s">
        <v>176</v>
      </c>
      <c r="F1" s="39" t="s">
        <v>177</v>
      </c>
      <c r="G1" s="39" t="s">
        <v>178</v>
      </c>
    </row>
    <row r="2" spans="1:7" ht="15" customHeight="1" x14ac:dyDescent="0.25">
      <c r="A2" s="25">
        <v>1</v>
      </c>
      <c r="B2" s="25" t="s">
        <v>179</v>
      </c>
      <c r="C2" s="25" t="s">
        <v>63</v>
      </c>
      <c r="D2" s="25" t="s">
        <v>64</v>
      </c>
      <c r="E2" s="25" t="s">
        <v>180</v>
      </c>
      <c r="F2" s="25">
        <v>1</v>
      </c>
      <c r="G2" s="25" t="s">
        <v>181</v>
      </c>
    </row>
    <row r="3" spans="1:7" ht="15" customHeight="1" x14ac:dyDescent="0.25">
      <c r="A3" s="25">
        <v>2</v>
      </c>
      <c r="B3" s="25" t="s">
        <v>70</v>
      </c>
      <c r="C3" s="25" t="s">
        <v>71</v>
      </c>
      <c r="D3" s="25" t="s">
        <v>72</v>
      </c>
      <c r="E3" s="25" t="s">
        <v>180</v>
      </c>
      <c r="F3" s="25">
        <v>1</v>
      </c>
      <c r="G3" s="25" t="s">
        <v>182</v>
      </c>
    </row>
    <row r="4" spans="1:7" ht="15" customHeight="1" x14ac:dyDescent="0.25">
      <c r="A4" s="25">
        <v>3</v>
      </c>
      <c r="B4" s="25" t="s">
        <v>78</v>
      </c>
      <c r="C4" s="25" t="s">
        <v>79</v>
      </c>
      <c r="D4" s="25" t="s">
        <v>80</v>
      </c>
      <c r="E4" s="25" t="s">
        <v>180</v>
      </c>
      <c r="F4" s="25">
        <v>38</v>
      </c>
      <c r="G4" s="25" t="s">
        <v>183</v>
      </c>
    </row>
    <row r="5" spans="1:7" ht="15" customHeight="1" x14ac:dyDescent="0.25">
      <c r="A5" s="25">
        <v>4</v>
      </c>
      <c r="B5" s="25" t="s">
        <v>86</v>
      </c>
      <c r="C5" s="25" t="s">
        <v>87</v>
      </c>
      <c r="D5" s="25" t="s">
        <v>80</v>
      </c>
      <c r="E5" s="25" t="s">
        <v>180</v>
      </c>
      <c r="F5" s="25">
        <v>4</v>
      </c>
      <c r="G5" s="25" t="s">
        <v>184</v>
      </c>
    </row>
    <row r="6" spans="1:7" ht="15" customHeight="1" x14ac:dyDescent="0.25">
      <c r="A6" s="25">
        <v>5</v>
      </c>
      <c r="B6" s="25" t="s">
        <v>185</v>
      </c>
      <c r="C6" s="25" t="s">
        <v>92</v>
      </c>
      <c r="D6" s="25" t="s">
        <v>80</v>
      </c>
      <c r="E6" s="25" t="s">
        <v>180</v>
      </c>
      <c r="F6" s="25">
        <v>68</v>
      </c>
      <c r="G6" s="25" t="s">
        <v>186</v>
      </c>
    </row>
    <row r="7" spans="1:7" ht="15" customHeight="1" x14ac:dyDescent="0.25">
      <c r="A7" s="25">
        <v>6</v>
      </c>
      <c r="B7" s="25" t="s">
        <v>187</v>
      </c>
      <c r="C7" s="25" t="s">
        <v>169</v>
      </c>
      <c r="D7" s="25" t="s">
        <v>103</v>
      </c>
      <c r="E7" s="25" t="s">
        <v>180</v>
      </c>
      <c r="F7" s="25">
        <v>38</v>
      </c>
      <c r="G7" s="25" t="s">
        <v>188</v>
      </c>
    </row>
    <row r="8" spans="1:7" ht="15" customHeight="1" x14ac:dyDescent="0.25">
      <c r="A8" s="25">
        <v>7</v>
      </c>
      <c r="B8" s="25" t="s">
        <v>95</v>
      </c>
      <c r="C8" s="25" t="s">
        <v>96</v>
      </c>
      <c r="D8" s="25" t="s">
        <v>97</v>
      </c>
      <c r="E8" s="25" t="s">
        <v>180</v>
      </c>
      <c r="F8" s="25">
        <v>38</v>
      </c>
      <c r="G8" s="25" t="s">
        <v>189</v>
      </c>
    </row>
    <row r="9" spans="1:7" ht="15" customHeight="1" x14ac:dyDescent="0.25">
      <c r="A9" s="25">
        <v>8</v>
      </c>
      <c r="B9" s="25" t="s">
        <v>190</v>
      </c>
      <c r="C9" s="25" t="s">
        <v>191</v>
      </c>
      <c r="D9" s="25" t="s">
        <v>97</v>
      </c>
      <c r="E9" s="25" t="s">
        <v>180</v>
      </c>
      <c r="F9" s="25">
        <v>38</v>
      </c>
      <c r="G9" s="25" t="s">
        <v>192</v>
      </c>
    </row>
    <row r="10" spans="1:7" ht="15" customHeight="1" x14ac:dyDescent="0.25">
      <c r="A10" s="25">
        <v>9</v>
      </c>
      <c r="B10" s="25" t="s">
        <v>193</v>
      </c>
      <c r="C10" s="25" t="s">
        <v>103</v>
      </c>
      <c r="D10" s="25" t="s">
        <v>103</v>
      </c>
      <c r="E10" s="25" t="s">
        <v>180</v>
      </c>
      <c r="F10" s="25">
        <v>38</v>
      </c>
      <c r="G10" s="25" t="s">
        <v>194</v>
      </c>
    </row>
    <row r="11" spans="1:7" ht="15" customHeight="1" x14ac:dyDescent="0.25">
      <c r="A11" s="25">
        <v>10</v>
      </c>
      <c r="B11" s="25" t="s">
        <v>107</v>
      </c>
      <c r="C11" s="25" t="s">
        <v>108</v>
      </c>
      <c r="D11" s="25" t="s">
        <v>109</v>
      </c>
      <c r="E11" s="25" t="s">
        <v>180</v>
      </c>
      <c r="F11" s="25">
        <v>59</v>
      </c>
      <c r="G11" s="25" t="s">
        <v>195</v>
      </c>
    </row>
    <row r="12" spans="1:7" ht="15" customHeight="1" x14ac:dyDescent="0.25">
      <c r="A12" s="25">
        <v>11</v>
      </c>
      <c r="B12" s="25" t="s">
        <v>114</v>
      </c>
      <c r="C12" s="25" t="s">
        <v>115</v>
      </c>
      <c r="D12" s="25" t="s">
        <v>64</v>
      </c>
      <c r="E12" s="25" t="s">
        <v>180</v>
      </c>
      <c r="F12" s="25">
        <v>5</v>
      </c>
      <c r="G12" s="25" t="s">
        <v>196</v>
      </c>
    </row>
    <row r="13" spans="1:7" ht="15" customHeight="1" x14ac:dyDescent="0.25">
      <c r="A13" s="25">
        <v>12</v>
      </c>
      <c r="B13" s="25" t="s">
        <v>197</v>
      </c>
      <c r="C13" s="25" t="s">
        <v>121</v>
      </c>
      <c r="D13" s="25" t="s">
        <v>122</v>
      </c>
      <c r="E13" s="25" t="s">
        <v>180</v>
      </c>
      <c r="F13" s="25">
        <v>1</v>
      </c>
      <c r="G13" s="25" t="s">
        <v>198</v>
      </c>
    </row>
    <row r="14" spans="1:7" ht="15" customHeight="1" x14ac:dyDescent="0.25">
      <c r="A14" s="25">
        <v>13</v>
      </c>
      <c r="B14" s="25" t="s">
        <v>199</v>
      </c>
      <c r="C14" s="25" t="s">
        <v>127</v>
      </c>
      <c r="D14" s="25" t="s">
        <v>128</v>
      </c>
      <c r="E14" s="25" t="s">
        <v>180</v>
      </c>
      <c r="F14" s="25">
        <v>2</v>
      </c>
      <c r="G14" s="25" t="s">
        <v>200</v>
      </c>
    </row>
    <row r="15" spans="1:7" ht="15" customHeight="1" x14ac:dyDescent="0.25">
      <c r="A15" s="25">
        <v>14</v>
      </c>
      <c r="B15" s="25" t="s">
        <v>201</v>
      </c>
      <c r="C15" s="25" t="s">
        <v>202</v>
      </c>
      <c r="D15" s="25" t="s">
        <v>128</v>
      </c>
      <c r="E15" s="25" t="s">
        <v>180</v>
      </c>
      <c r="F15" s="25">
        <v>4</v>
      </c>
      <c r="G15" s="25" t="s">
        <v>203</v>
      </c>
    </row>
    <row r="16" spans="1:7" ht="15" customHeight="1" x14ac:dyDescent="0.25">
      <c r="A16" s="25">
        <v>15</v>
      </c>
      <c r="B16" s="25" t="s">
        <v>204</v>
      </c>
      <c r="C16" s="25" t="s">
        <v>205</v>
      </c>
      <c r="D16" s="25" t="s">
        <v>128</v>
      </c>
      <c r="E16" s="25" t="s">
        <v>180</v>
      </c>
      <c r="F16" s="25">
        <v>2</v>
      </c>
      <c r="G16" s="25" t="s">
        <v>206</v>
      </c>
    </row>
    <row r="17" spans="1:7" ht="15" customHeight="1" x14ac:dyDescent="0.25">
      <c r="A17" s="25">
        <v>16</v>
      </c>
      <c r="B17" s="25" t="s">
        <v>207</v>
      </c>
      <c r="C17" s="25" t="s">
        <v>208</v>
      </c>
      <c r="D17" s="25" t="s">
        <v>128</v>
      </c>
      <c r="E17" s="25" t="s">
        <v>180</v>
      </c>
      <c r="F17" s="25">
        <v>2</v>
      </c>
      <c r="G17" s="25" t="s">
        <v>209</v>
      </c>
    </row>
    <row r="18" spans="1:7" ht="15" customHeight="1" x14ac:dyDescent="0.25">
      <c r="A18" s="25">
        <v>17</v>
      </c>
      <c r="B18" s="25" t="s">
        <v>210</v>
      </c>
      <c r="C18" s="25" t="s">
        <v>211</v>
      </c>
      <c r="D18" s="25" t="s">
        <v>128</v>
      </c>
      <c r="E18" s="25" t="s">
        <v>180</v>
      </c>
      <c r="F18" s="25">
        <v>2</v>
      </c>
      <c r="G18" s="25" t="s">
        <v>212</v>
      </c>
    </row>
    <row r="19" spans="1:7" ht="15" customHeight="1" x14ac:dyDescent="0.25">
      <c r="A19" s="25">
        <v>18</v>
      </c>
      <c r="B19" s="25" t="s">
        <v>213</v>
      </c>
      <c r="C19" s="25" t="s">
        <v>214</v>
      </c>
      <c r="D19" s="25" t="s">
        <v>128</v>
      </c>
      <c r="E19" s="25" t="s">
        <v>180</v>
      </c>
      <c r="F19" s="25">
        <v>4</v>
      </c>
      <c r="G19" s="25" t="s">
        <v>215</v>
      </c>
    </row>
    <row r="20" spans="1:7" ht="15" customHeight="1" x14ac:dyDescent="0.25">
      <c r="A20" s="25">
        <v>19</v>
      </c>
      <c r="B20" s="25" t="s">
        <v>216</v>
      </c>
      <c r="C20" s="25" t="s">
        <v>217</v>
      </c>
      <c r="D20" s="25" t="s">
        <v>128</v>
      </c>
      <c r="E20" s="25" t="s">
        <v>180</v>
      </c>
      <c r="F20" s="25">
        <v>4</v>
      </c>
      <c r="G20" s="25" t="s">
        <v>218</v>
      </c>
    </row>
    <row r="21" spans="1:7" ht="15" customHeight="1" x14ac:dyDescent="0.25">
      <c r="A21" s="25">
        <v>20</v>
      </c>
      <c r="B21" s="25" t="s">
        <v>219</v>
      </c>
      <c r="C21" s="25" t="s">
        <v>220</v>
      </c>
      <c r="D21" s="25" t="s">
        <v>128</v>
      </c>
      <c r="E21" s="25" t="s">
        <v>180</v>
      </c>
      <c r="F21" s="25">
        <v>4</v>
      </c>
      <c r="G21" s="25" t="s">
        <v>221</v>
      </c>
    </row>
    <row r="22" spans="1:7" ht="15" customHeight="1" x14ac:dyDescent="0.25">
      <c r="A22" s="25">
        <v>21</v>
      </c>
      <c r="B22" s="25" t="s">
        <v>132</v>
      </c>
      <c r="C22" s="25" t="s">
        <v>133</v>
      </c>
      <c r="D22" s="25" t="s">
        <v>72</v>
      </c>
      <c r="E22" s="25" t="s">
        <v>180</v>
      </c>
      <c r="F22" s="25">
        <v>10</v>
      </c>
      <c r="G22" s="25" t="s">
        <v>222</v>
      </c>
    </row>
    <row r="23" spans="1:7" ht="15" customHeight="1" x14ac:dyDescent="0.25">
      <c r="A23" s="25">
        <v>22</v>
      </c>
      <c r="B23" s="25" t="s">
        <v>168</v>
      </c>
      <c r="C23" s="25" t="s">
        <v>223</v>
      </c>
      <c r="D23" s="25" t="s">
        <v>103</v>
      </c>
      <c r="E23" s="25" t="s">
        <v>180</v>
      </c>
      <c r="F23" s="25">
        <v>8</v>
      </c>
      <c r="G23" s="25" t="s">
        <v>224</v>
      </c>
    </row>
    <row r="24" spans="1:7" ht="15" customHeight="1" x14ac:dyDescent="0.25">
      <c r="A24" s="25">
        <v>23</v>
      </c>
      <c r="B24" s="25" t="s">
        <v>168</v>
      </c>
      <c r="C24" s="25" t="s">
        <v>169</v>
      </c>
      <c r="D24" s="25" t="s">
        <v>103</v>
      </c>
      <c r="E24" s="25" t="s">
        <v>180</v>
      </c>
      <c r="F24" s="25">
        <v>13</v>
      </c>
      <c r="G24" s="25" t="s">
        <v>225</v>
      </c>
    </row>
    <row r="25" spans="1:7" ht="15" customHeight="1" x14ac:dyDescent="0.25">
      <c r="A25" s="25">
        <v>24</v>
      </c>
      <c r="B25" s="25" t="s">
        <v>132</v>
      </c>
      <c r="C25" s="25" t="s">
        <v>141</v>
      </c>
      <c r="D25" s="25" t="s">
        <v>72</v>
      </c>
      <c r="E25" s="25" t="s">
        <v>180</v>
      </c>
      <c r="F25" s="25">
        <v>4</v>
      </c>
      <c r="G25" s="25" t="s">
        <v>226</v>
      </c>
    </row>
    <row r="26" spans="1:7" ht="15" customHeight="1" x14ac:dyDescent="0.25">
      <c r="A26" s="25">
        <v>25</v>
      </c>
      <c r="B26" s="25" t="s">
        <v>143</v>
      </c>
      <c r="C26" s="25" t="s">
        <v>144</v>
      </c>
      <c r="D26" s="25" t="s">
        <v>72</v>
      </c>
      <c r="E26" s="25" t="s">
        <v>180</v>
      </c>
      <c r="F26" s="25">
        <v>1</v>
      </c>
      <c r="G26" s="25" t="s">
        <v>227</v>
      </c>
    </row>
    <row r="27" spans="1:7" ht="15" customHeight="1" x14ac:dyDescent="0.25">
      <c r="A27" s="25">
        <v>26</v>
      </c>
      <c r="B27" s="25" t="s">
        <v>145</v>
      </c>
      <c r="C27" s="25" t="s">
        <v>146</v>
      </c>
      <c r="D27" s="25" t="s">
        <v>72</v>
      </c>
      <c r="E27" s="25" t="s">
        <v>180</v>
      </c>
      <c r="F27" s="25">
        <v>1</v>
      </c>
      <c r="G27" s="25" t="s">
        <v>228</v>
      </c>
    </row>
    <row r="28" spans="1:7" ht="15" customHeight="1" x14ac:dyDescent="0.25">
      <c r="A28" s="25">
        <v>27</v>
      </c>
      <c r="B28" s="25" t="s">
        <v>143</v>
      </c>
      <c r="C28" s="25" t="s">
        <v>150</v>
      </c>
      <c r="D28" s="25" t="s">
        <v>72</v>
      </c>
      <c r="E28" s="25" t="s">
        <v>180</v>
      </c>
      <c r="F28" s="25">
        <v>2</v>
      </c>
      <c r="G28" s="25" t="s">
        <v>229</v>
      </c>
    </row>
    <row r="29" spans="1:7" ht="15" customHeight="1" x14ac:dyDescent="0.25">
      <c r="A29" s="25">
        <v>28</v>
      </c>
      <c r="B29" s="25" t="s">
        <v>152</v>
      </c>
      <c r="C29" s="25" t="s">
        <v>153</v>
      </c>
      <c r="D29" s="25" t="s">
        <v>154</v>
      </c>
      <c r="E29" s="25" t="s">
        <v>180</v>
      </c>
      <c r="F29" s="25">
        <v>1</v>
      </c>
      <c r="G29" s="25" t="s">
        <v>230</v>
      </c>
    </row>
    <row r="30" spans="1:7" ht="15" customHeight="1" x14ac:dyDescent="0.25">
      <c r="A30" s="25">
        <v>29</v>
      </c>
      <c r="B30" s="25" t="s">
        <v>157</v>
      </c>
      <c r="C30" s="25" t="s">
        <v>158</v>
      </c>
      <c r="D30" s="25" t="s">
        <v>154</v>
      </c>
      <c r="E30" s="25" t="s">
        <v>180</v>
      </c>
      <c r="F30" s="25">
        <v>4</v>
      </c>
      <c r="G30" s="25" t="s">
        <v>231</v>
      </c>
    </row>
    <row r="31" spans="1:7" ht="15" customHeight="1" x14ac:dyDescent="0.25">
      <c r="A31" s="25">
        <v>30</v>
      </c>
      <c r="B31" s="25" t="s">
        <v>161</v>
      </c>
      <c r="C31" s="25" t="s">
        <v>162</v>
      </c>
      <c r="D31" s="25" t="s">
        <v>154</v>
      </c>
      <c r="E31" s="25" t="s">
        <v>180</v>
      </c>
      <c r="F31" s="25">
        <v>4</v>
      </c>
      <c r="G31" s="25" t="s">
        <v>232</v>
      </c>
    </row>
    <row r="32" spans="1:7" ht="15" customHeight="1" x14ac:dyDescent="0.25">
      <c r="A32" s="25">
        <v>31</v>
      </c>
      <c r="B32" s="25" t="s">
        <v>163</v>
      </c>
      <c r="C32" s="25" t="s">
        <v>164</v>
      </c>
      <c r="D32" s="25" t="s">
        <v>97</v>
      </c>
      <c r="E32" s="25" t="s">
        <v>180</v>
      </c>
      <c r="F32" s="25">
        <v>4</v>
      </c>
      <c r="G32" s="25" t="s">
        <v>233</v>
      </c>
    </row>
    <row r="33" spans="1:7" ht="15" customHeight="1" x14ac:dyDescent="0.25">
      <c r="A33" s="25">
        <v>32</v>
      </c>
      <c r="B33" s="25" t="s">
        <v>166</v>
      </c>
      <c r="C33" s="25" t="s">
        <v>167</v>
      </c>
      <c r="D33" s="25" t="s">
        <v>122</v>
      </c>
      <c r="E33" s="25" t="s">
        <v>180</v>
      </c>
      <c r="F33" s="25">
        <v>4</v>
      </c>
      <c r="G33" s="25" t="s">
        <v>234</v>
      </c>
    </row>
    <row r="34" spans="1:7" ht="15" customHeight="1" x14ac:dyDescent="0.25">
      <c r="A34" s="25">
        <v>33</v>
      </c>
      <c r="B34" s="25" t="s">
        <v>168</v>
      </c>
      <c r="C34" s="25" t="s">
        <v>169</v>
      </c>
      <c r="D34" s="25" t="s">
        <v>170</v>
      </c>
      <c r="E34" s="25" t="s">
        <v>180</v>
      </c>
      <c r="F34" s="25">
        <v>8</v>
      </c>
      <c r="G34" s="25" t="s">
        <v>235</v>
      </c>
    </row>
    <row r="35" spans="1:7" ht="15" customHeight="1" x14ac:dyDescent="0.25">
      <c r="A35" s="36"/>
      <c r="B35" s="40" t="s">
        <v>236</v>
      </c>
      <c r="C35" s="36"/>
      <c r="D35" s="36"/>
      <c r="E35" s="36"/>
      <c r="F35" s="40">
        <f>SUM(F2:F34)</f>
        <v>417</v>
      </c>
      <c r="G35" s="3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 для расчета</vt:lpstr>
      <vt:lpstr>СКУД СН-2012 расчёт</vt:lpstr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Bulat</cp:lastModifiedBy>
  <cp:revision>0</cp:revision>
  <dcterms:created xsi:type="dcterms:W3CDTF">2026-07-01T08:03:24Z</dcterms:created>
  <dcterms:modified xsi:type="dcterms:W3CDTF">2026-07-15T14:18:42Z</dcterms:modified>
  <dc:language>en-US</dc:language>
</cp:coreProperties>
</file>